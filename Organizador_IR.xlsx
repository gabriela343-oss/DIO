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7cc67307c45ea1/Área de Trabalho/"/>
    </mc:Choice>
  </mc:AlternateContent>
  <xr:revisionPtr revIDLastSave="1387" documentId="8_{623CB955-68E1-4C5F-82E7-8C7B46B28638}" xr6:coauthVersionLast="47" xr6:coauthVersionMax="47" xr10:uidLastSave="{902A0AFF-57EF-4ECE-B565-53D8140553FE}"/>
  <bookViews>
    <workbookView xWindow="-120" yWindow="-120" windowWidth="20730" windowHeight="11760" tabRatio="0" xr2:uid="{8BB863A7-61BB-483A-AAC7-854231719459}"/>
  </bookViews>
  <sheets>
    <sheet name="TITULAR" sheetId="1" r:id="rId1"/>
    <sheet name="INFORMES" sheetId="14" r:id="rId2"/>
    <sheet name="NOTAS" sheetId="15" r:id="rId3"/>
    <sheet name="TABELAS" sheetId="1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4" l="1"/>
  <c r="G8" i="14"/>
  <c r="G7" i="14"/>
  <c r="G6" i="14"/>
  <c r="F9" i="14"/>
  <c r="F8" i="14"/>
  <c r="F7" i="14"/>
  <c r="F6" i="14"/>
  <c r="D5" i="14"/>
</calcChain>
</file>

<file path=xl/sharedStrings.xml><?xml version="1.0" encoding="utf-8"?>
<sst xmlns="http://schemas.openxmlformats.org/spreadsheetml/2006/main" count="112" uniqueCount="94">
  <si>
    <t>NOME</t>
  </si>
  <si>
    <t>CPF</t>
  </si>
  <si>
    <t>DATA DE NASCIMENTO</t>
  </si>
  <si>
    <t>TÍTULO DE ELEITOR</t>
  </si>
  <si>
    <t>CÔNJUGE</t>
  </si>
  <si>
    <t>LOGRADOURO</t>
  </si>
  <si>
    <t>LOGRADOURO ABREVIADO</t>
  </si>
  <si>
    <t>CEP</t>
  </si>
  <si>
    <t>TELEFONE CELULAR</t>
  </si>
  <si>
    <t>E-MAIL</t>
  </si>
  <si>
    <t>TELEFONE FIXO</t>
  </si>
  <si>
    <t>1. DADOS DO TITULAR</t>
  </si>
  <si>
    <t>HOUVE ALTERAÇÕES?</t>
  </si>
  <si>
    <t>RESIDE NO EXTERIOR?</t>
  </si>
  <si>
    <t>POSSUI DEPENDENTES?</t>
  </si>
  <si>
    <t>Gabriela Aparecida de Souza</t>
  </si>
  <si>
    <t>gab@gab.com.br</t>
  </si>
  <si>
    <t>123456-789</t>
  </si>
  <si>
    <t>Rua dos bobos</t>
  </si>
  <si>
    <t>R Bobos</t>
  </si>
  <si>
    <t>Não</t>
  </si>
  <si>
    <t>PREENCHA OS DADOS DA PESSOA FÍSICA ABAIXO</t>
  </si>
  <si>
    <t>2. INFORME DE RENDIMENTOS BANCÁRIOS</t>
  </si>
  <si>
    <t>PREENCHA COM SEUS DADOS ATUAIS DE CADA BANCO</t>
  </si>
  <si>
    <t>Banco</t>
  </si>
  <si>
    <t>BANCO</t>
  </si>
  <si>
    <t>VALOR ATUAL</t>
  </si>
  <si>
    <t>ANEXO 🖇️</t>
  </si>
  <si>
    <t>BANCOX.PDF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</si>
  <si>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</si>
  <si>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</si>
  <si>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</si>
  <si>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</si>
  <si>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</si>
  <si>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</si>
  <si>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</si>
  <si>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</si>
  <si>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</si>
  <si>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</si>
  <si>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</si>
  <si>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</si>
  <si>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</si>
  <si>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</si>
  <si>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</si>
  <si>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</si>
  <si>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</si>
  <si>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</si>
  <si>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</si>
  <si>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</si>
  <si>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</si>
  <si>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</si>
  <si>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</si>
  <si>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</si>
  <si>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</si>
  <si>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</si>
  <si>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</si>
  <si>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</si>
  <si>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</si>
  <si>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</si>
  <si>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</si>
  <si>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</si>
  <si>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</si>
  <si>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</si>
  <si>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</si>
  <si>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</si>
  <si>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</si>
  <si>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</si>
  <si>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</si>
  <si>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</si>
  <si>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</si>
  <si>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</si>
  <si>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</si>
  <si>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</si>
  <si>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</si>
  <si>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</si>
  <si>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</si>
  <si>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</si>
  <si>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</si>
  <si>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</si>
  <si>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#</t>
  </si>
  <si>
    <t>2ª Instituição financeira</t>
  </si>
  <si>
    <t>1ª Instituição financeira</t>
  </si>
  <si>
    <t>3ª Instituição financeira</t>
  </si>
  <si>
    <t>TOTAL</t>
  </si>
  <si>
    <t>3. NOTAS BANCÁRIAS OU EXTRATO DE HOLERITES</t>
  </si>
  <si>
    <t>TODOS OS VALORES DE ENTRADA MÊS A MÊS DE RECEITA</t>
  </si>
  <si>
    <t>DATA DE ENTRADA</t>
  </si>
  <si>
    <t>VALOR</t>
  </si>
  <si>
    <t>CATEGORIA</t>
  </si>
  <si>
    <t>ENTRADAS</t>
  </si>
  <si>
    <t>Freelancer</t>
  </si>
  <si>
    <t>Bancos</t>
  </si>
  <si>
    <t>Valor (R$)</t>
  </si>
  <si>
    <t>4ª Instituição financeira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</si>
</sst>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dd&quot;/&quot;mm&quot;/&quot;yyyy"/>
    <numFmt numFmtId="166" formatCode="\ce\p"/>
    <numFmt numFmtId="167" formatCode="&quot;(&quot;00&quot;)&quot;0000&quot;-&quot;0000"/>
    <numFmt numFmtId="168" formatCode="&quot;(&quot;00&quot;)&quot;0\ 0000&quot;-&quot;0000"/>
    <numFmt numFmtId="169" formatCode="e\-myy\i\l"/>
    <numFmt numFmtId="171" formatCode="&quot;R$&quot;\ #,##0.00"/>
    <numFmt numFmtId="173" formatCode="mmm/yyyy"/>
  </numFmts>
  <fonts count="17" x14ac:knownFonts="1">
    <font>
      <sz val="11"/>
      <color theme="1"/>
      <name val="Aptos Narrow"/>
      <family val="2"/>
      <scheme val="minor"/>
    </font>
    <font>
      <sz val="10"/>
      <color theme="1"/>
      <name val="Segoe UI Light"/>
      <family val="2"/>
    </font>
    <font>
      <sz val="16"/>
      <color theme="1"/>
      <name val="Segoe UI Black"/>
      <family val="2"/>
    </font>
    <font>
      <i/>
      <sz val="16"/>
      <color theme="1"/>
      <name val="Segoe UI Light"/>
      <family val="2"/>
    </font>
    <font>
      <i/>
      <sz val="11"/>
      <color theme="1"/>
      <name val="Segoe UI Light"/>
      <family val="2"/>
    </font>
    <font>
      <sz val="9"/>
      <color theme="1"/>
      <name val="Segoe UI Light"/>
      <family val="2"/>
    </font>
    <font>
      <sz val="12"/>
      <color theme="1"/>
      <name val="Segoe UI Light"/>
      <family val="2"/>
    </font>
    <font>
      <sz val="18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u/>
      <sz val="12"/>
      <color theme="10"/>
      <name val="Segoe UI Light"/>
      <family val="2"/>
    </font>
    <font>
      <i/>
      <sz val="8"/>
      <color theme="1"/>
      <name val="Segoe UI Light"/>
      <family val="2"/>
    </font>
    <font>
      <sz val="11"/>
      <color theme="1"/>
      <name val="Aptos Narrow"/>
      <family val="2"/>
      <scheme val="minor"/>
    </font>
    <font>
      <sz val="16"/>
      <color theme="1"/>
      <name val="Segoe UI Light"/>
      <family val="2"/>
    </font>
    <font>
      <i/>
      <sz val="10"/>
      <color theme="1"/>
      <name val="Segoe UI Light"/>
      <family val="2"/>
    </font>
    <font>
      <b/>
      <sz val="12"/>
      <color theme="1"/>
      <name val="Segoe UI Light"/>
      <family val="2"/>
    </font>
    <font>
      <b/>
      <sz val="16"/>
      <color theme="1"/>
      <name val="Segoe UI Light"/>
      <family val="2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A270A"/>
        <bgColor indexed="64"/>
      </patternFill>
    </fill>
    <fill>
      <gradientFill type="path" left="0.5" right="0.5" top="0.5" bottom="0.5">
        <stop position="0">
          <color theme="5" tint="-0.49803155613879818"/>
        </stop>
        <stop position="1">
          <color rgb="FF5A270A"/>
        </stop>
      </gradient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rgb="FF5A270A"/>
      </bottom>
      <diagonal/>
    </border>
    <border>
      <left/>
      <right style="thick">
        <color theme="5" tint="-0.24994659260841701"/>
      </right>
      <top/>
      <bottom/>
      <diagonal/>
    </border>
    <border>
      <left style="thick">
        <color rgb="FF5A270A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rgb="FF5A270A"/>
      </right>
      <top/>
      <bottom style="thin">
        <color theme="0" tint="-0.14996795556505021"/>
      </bottom>
      <diagonal/>
    </border>
    <border>
      <left style="thick">
        <color rgb="FF5A270A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rgb="FF5A270A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5A270A"/>
      </left>
      <right style="thin">
        <color theme="0" tint="-0.14996795556505021"/>
      </right>
      <top style="thin">
        <color theme="0" tint="-0.14996795556505021"/>
      </top>
      <bottom style="thick">
        <color rgb="FF5A270A"/>
      </bottom>
      <diagonal/>
    </border>
    <border>
      <left style="thin">
        <color theme="0" tint="-0.14996795556505021"/>
      </left>
      <right style="thick">
        <color rgb="FF5A270A"/>
      </right>
      <top style="thin">
        <color theme="0" tint="-0.14996795556505021"/>
      </top>
      <bottom style="thick">
        <color rgb="FF5A270A"/>
      </bottom>
      <diagonal/>
    </border>
    <border>
      <left style="thick">
        <color rgb="FF5A270A"/>
      </left>
      <right style="thin">
        <color theme="0" tint="-0.14996795556505021"/>
      </right>
      <top style="thick">
        <color rgb="FF5A270A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rgb="FF5A270A"/>
      </right>
      <top style="thick">
        <color rgb="FF5A270A"/>
      </top>
      <bottom style="thin">
        <color theme="0" tint="-0.1499679555650502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double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</borders>
  <cellStyleXfs count="4">
    <xf numFmtId="0" fontId="0" fillId="0" borderId="0"/>
    <xf numFmtId="0" fontId="2" fillId="3" borderId="0"/>
    <xf numFmtId="0" fontId="8" fillId="0" borderId="0" applyNumberFormat="0" applyFill="0" applyBorder="0" applyAlignment="0" applyProtection="0"/>
    <xf numFmtId="44" fontId="11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2" xfId="0" applyFill="1" applyBorder="1"/>
    <xf numFmtId="0" fontId="5" fillId="2" borderId="2" xfId="0" applyFont="1" applyFill="1" applyBorder="1"/>
    <xf numFmtId="0" fontId="7" fillId="0" borderId="0" xfId="0" applyFont="1" applyAlignment="1">
      <alignment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2" fillId="0" borderId="12" xfId="0" applyFont="1" applyBorder="1" applyAlignment="1">
      <alignment vertical="center"/>
    </xf>
    <xf numFmtId="44" fontId="12" fillId="0" borderId="11" xfId="3" applyFont="1" applyBorder="1" applyAlignment="1">
      <alignment vertical="center"/>
    </xf>
    <xf numFmtId="0" fontId="0" fillId="0" borderId="0" xfId="0" applyAlignment="1">
      <alignment horizontal="left" vertical="center"/>
    </xf>
    <xf numFmtId="0" fontId="15" fillId="5" borderId="0" xfId="0" applyFont="1" applyFill="1" applyAlignment="1">
      <alignment horizontal="center" vertical="center"/>
    </xf>
    <xf numFmtId="171" fontId="0" fillId="0" borderId="0" xfId="0" applyNumberFormat="1"/>
    <xf numFmtId="0" fontId="4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6" fillId="0" borderId="3" xfId="0" applyFont="1" applyBorder="1" applyAlignment="1" applyProtection="1">
      <alignment horizontal="left" vertical="top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5" xfId="0" applyFont="1" applyBorder="1" applyAlignment="1" applyProtection="1">
      <alignment horizontal="left" vertical="top"/>
      <protection locked="0"/>
    </xf>
    <xf numFmtId="164" fontId="6" fillId="0" borderId="6" xfId="0" applyNumberFormat="1" applyFont="1" applyBorder="1" applyAlignment="1" applyProtection="1">
      <alignment horizontal="left" vertical="center"/>
      <protection locked="0"/>
    </xf>
    <xf numFmtId="165" fontId="6" fillId="0" borderId="6" xfId="0" applyNumberFormat="1" applyFont="1" applyBorder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left" vertical="center"/>
      <protection locked="0"/>
    </xf>
    <xf numFmtId="166" fontId="6" fillId="0" borderId="6" xfId="0" applyNumberFormat="1" applyFont="1" applyBorder="1" applyAlignment="1" applyProtection="1">
      <alignment horizontal="left" vertical="center"/>
      <protection locked="0"/>
    </xf>
    <xf numFmtId="167" fontId="6" fillId="0" borderId="6" xfId="0" applyNumberFormat="1" applyFont="1" applyBorder="1" applyAlignment="1" applyProtection="1">
      <alignment horizontal="left" vertical="center"/>
      <protection locked="0"/>
    </xf>
    <xf numFmtId="168" fontId="6" fillId="0" borderId="6" xfId="0" applyNumberFormat="1" applyFont="1" applyBorder="1" applyAlignment="1" applyProtection="1">
      <alignment horizontal="left" vertical="center"/>
      <protection locked="0"/>
    </xf>
    <xf numFmtId="169" fontId="9" fillId="0" borderId="6" xfId="2" applyNumberFormat="1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top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top"/>
      <protection locked="0"/>
    </xf>
    <xf numFmtId="0" fontId="6" fillId="0" borderId="10" xfId="0" applyFont="1" applyBorder="1" applyAlignment="1" applyProtection="1">
      <alignment horizontal="left" vertical="center"/>
      <protection locked="0"/>
    </xf>
    <xf numFmtId="171" fontId="6" fillId="0" borderId="6" xfId="3" applyNumberFormat="1" applyFont="1" applyBorder="1" applyAlignment="1" applyProtection="1">
      <alignment horizontal="left" vertical="center"/>
      <protection locked="0"/>
    </xf>
    <xf numFmtId="0" fontId="6" fillId="0" borderId="8" xfId="0" applyNumberFormat="1" applyFont="1" applyBorder="1" applyAlignment="1" applyProtection="1">
      <alignment horizontal="left" vertical="center"/>
      <protection locked="0"/>
    </xf>
    <xf numFmtId="0" fontId="14" fillId="0" borderId="16" xfId="0" applyFont="1" applyBorder="1" applyAlignment="1" applyProtection="1">
      <alignment horizontal="center" vertical="center"/>
      <protection locked="0"/>
    </xf>
    <xf numFmtId="0" fontId="14" fillId="0" borderId="17" xfId="0" applyFont="1" applyBorder="1" applyAlignment="1" applyProtection="1">
      <alignment horizontal="center" vertical="center"/>
      <protection locked="0"/>
    </xf>
    <xf numFmtId="171" fontId="14" fillId="0" borderId="18" xfId="0" applyNumberFormat="1" applyFont="1" applyBorder="1" applyAlignment="1" applyProtection="1">
      <alignment horizontal="center" vertical="center"/>
      <protection locked="0"/>
    </xf>
    <xf numFmtId="173" fontId="6" fillId="0" borderId="14" xfId="0" applyNumberFormat="1" applyFont="1" applyBorder="1" applyAlignment="1" applyProtection="1">
      <alignment horizontal="center" vertical="center"/>
      <protection locked="0"/>
    </xf>
    <xf numFmtId="171" fontId="6" fillId="0" borderId="13" xfId="3" applyNumberFormat="1" applyFont="1" applyBorder="1" applyAlignment="1" applyProtection="1">
      <alignment horizontal="center" vertical="center"/>
      <protection locked="0"/>
    </xf>
    <xf numFmtId="171" fontId="6" fillId="0" borderId="15" xfId="0" applyNumberFormat="1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171" fontId="6" fillId="0" borderId="21" xfId="0" applyNumberFormat="1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171" fontId="6" fillId="0" borderId="20" xfId="3" applyNumberFormat="1" applyFont="1" applyBorder="1" applyAlignment="1" applyProtection="1">
      <alignment horizontal="center" vertical="center"/>
      <protection locked="0"/>
    </xf>
    <xf numFmtId="0" fontId="6" fillId="0" borderId="0" xfId="0" applyFont="1"/>
    <xf numFmtId="0" fontId="13" fillId="0" borderId="0" xfId="0" applyFont="1" applyAlignment="1">
      <alignment horizontal="left"/>
    </xf>
    <xf numFmtId="171" fontId="13" fillId="0" borderId="0" xfId="0" applyNumberFormat="1" applyFont="1" applyAlignment="1">
      <alignment horizontal="left"/>
    </xf>
  </cellXfs>
  <cellStyles count="4">
    <cellStyle name="Estilo 1" xfId="1" xr:uid="{229A4215-778B-46F1-9A04-C415A2A6E8B3}"/>
    <cellStyle name="Hiperlink" xfId="2" builtinId="8"/>
    <cellStyle name="Moeda" xfId="3" builtinId="4"/>
    <cellStyle name="Normal" xfId="0" builtinId="0"/>
  </cellStyles>
  <dxfs count="11"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vertical style="thin">
          <color theme="0" tint="-0.14996795556505021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 Light"/>
        <family val="2"/>
        <scheme val="none"/>
      </font>
      <numFmt numFmtId="171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vertical style="thin">
          <color theme="0" tint="-0.14996795556505021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</border>
      <protection locked="0" hidden="0"/>
    </dxf>
    <dxf>
      <border diagonalUp="0" diagonalDown="0">
        <left style="thick">
          <color rgb="FF5A270A"/>
        </left>
        <right style="thick">
          <color rgb="FF5A270A"/>
        </right>
        <top style="thick">
          <color rgb="FF5A270A"/>
        </top>
        <bottom style="thick">
          <color rgb="FF5A270A"/>
        </bottom>
      </border>
    </dxf>
    <dxf>
      <font>
        <i/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/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left" vertical="center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theme="0" tint="-0.14996795556505021"/>
        </top>
      </border>
    </dxf>
    <dxf>
      <border outline="0">
        <bottom style="thin">
          <color theme="0" tint="-0.14996795556505021"/>
        </bottom>
      </border>
    </dxf>
  </dxfs>
  <tableStyles count="0" defaultTableStyle="TableStyleMedium2" defaultPivotStyle="PivotStyleLight16"/>
  <colors>
    <mruColors>
      <color rgb="FFFFCC66"/>
      <color rgb="FF5A270A"/>
      <color rgb="FFF1AA83"/>
      <color rgb="FFFF3300"/>
      <color rgb="FFFFFF99"/>
      <color rgb="FFFFFFCC"/>
      <color rgb="FF6699FF"/>
      <color rgb="FFCCFFFF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r>
              <a:rPr lang="en-US" sz="1600" b="0"/>
              <a:t>Distribuição</a:t>
            </a:r>
            <a:r>
              <a:rPr lang="en-US" sz="1600" b="0" baseline="0"/>
              <a:t> de receita por instituição financeira</a:t>
            </a:r>
            <a:endParaRPr lang="en-US" sz="16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INFORMES!$G$5</c:f>
              <c:strCache>
                <c:ptCount val="1"/>
                <c:pt idx="0">
                  <c:v>Valor (R$)</c:v>
                </c:pt>
              </c:strCache>
            </c:strRef>
          </c:tx>
          <c:dPt>
            <c:idx val="0"/>
            <c:bubble3D val="0"/>
            <c:spPr>
              <a:solidFill>
                <a:srgbClr val="5A270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791-4652-B15F-A5B7DE8E85BD}"/>
              </c:ext>
            </c:extLst>
          </c:dPt>
          <c:dPt>
            <c:idx val="1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91-4652-B15F-A5B7DE8E85BD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791-4652-B15F-A5B7DE8E85BD}"/>
              </c:ext>
            </c:extLst>
          </c:dPt>
          <c:dPt>
            <c:idx val="3"/>
            <c:bubble3D val="0"/>
            <c:spPr>
              <a:solidFill>
                <a:srgbClr val="F1AA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91-4652-B15F-A5B7DE8E85BD}"/>
              </c:ext>
            </c:extLst>
          </c:dPt>
          <c:cat>
            <c:strRef>
              <c:f>INFORMES!$F$6:$F$9</c:f>
              <c:strCache>
                <c:ptCount val="4"/>
                <c:pt idx="0">
                  <c:v>44 - Banco BVA</c:v>
                </c:pt>
                <c:pt idx="1">
                  <c:v>62 - Hipercard Banco Múltiplo</c:v>
                </c:pt>
                <c:pt idx="2">
                  <c:v>65 - Banco Lemon</c:v>
                </c:pt>
                <c:pt idx="3">
                  <c:v>79 - Banco JBS</c:v>
                </c:pt>
              </c:strCache>
            </c:strRef>
          </c:cat>
          <c:val>
            <c:numRef>
              <c:f>INFORMES!$G$6:$G$9</c:f>
              <c:numCache>
                <c:formatCode>"R$"\ #,##0.00</c:formatCode>
                <c:ptCount val="4"/>
                <c:pt idx="0">
                  <c:v>284710.63</c:v>
                </c:pt>
                <c:pt idx="1">
                  <c:v>58641.73</c:v>
                </c:pt>
                <c:pt idx="2">
                  <c:v>124789.63</c:v>
                </c:pt>
                <c:pt idx="3">
                  <c:v>54296.81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1-4652-B15F-A5B7DE8E8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Segoe UI Light" panose="020B0502040204020203" pitchFamily="34" charset="0"/>
          <a:cs typeface="Segoe UI Light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B1"/><Relationship Id="rId2" Type="http://schemas.openxmlformats.org/officeDocument/2006/relationships/image" Target="../media/image1.png"/><Relationship Id="rId1" Type="http://schemas.openxmlformats.org/officeDocument/2006/relationships/hyperlink" Target="#TITULAR!B1"/><Relationship Id="rId4" Type="http://schemas.openxmlformats.org/officeDocument/2006/relationships/hyperlink" Target="#NOTAS!B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B1"/><Relationship Id="rId2" Type="http://schemas.openxmlformats.org/officeDocument/2006/relationships/image" Target="../media/image1.png"/><Relationship Id="rId1" Type="http://schemas.openxmlformats.org/officeDocument/2006/relationships/hyperlink" Target="#TITULAR!B1"/><Relationship Id="rId5" Type="http://schemas.openxmlformats.org/officeDocument/2006/relationships/chart" Target="../charts/chart1.xml"/><Relationship Id="rId4" Type="http://schemas.openxmlformats.org/officeDocument/2006/relationships/hyperlink" Target="#NOTAS!B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B1"/><Relationship Id="rId2" Type="http://schemas.openxmlformats.org/officeDocument/2006/relationships/image" Target="../media/image1.png"/><Relationship Id="rId1" Type="http://schemas.openxmlformats.org/officeDocument/2006/relationships/hyperlink" Target="#TITULAR!B1"/><Relationship Id="rId4" Type="http://schemas.openxmlformats.org/officeDocument/2006/relationships/hyperlink" Target="#NOTAS!B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142875</xdr:colOff>
      <xdr:row>6</xdr:row>
      <xdr:rowOff>228600</xdr:rowOff>
    </xdr:from>
    <xdr:to>
      <xdr:col>0</xdr:col>
      <xdr:colOff>1638300</xdr:colOff>
      <xdr:row>8</xdr:row>
      <xdr:rowOff>114300</xdr:rowOff>
    </xdr:to>
    <xdr:sp macro="" textlink="">
      <xdr:nvSpPr>
        <xdr:cNvPr id="19" name="Retângulo: Cantos Superiores Arredondado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609E1D-0D3A-4C49-275A-A7A76741D7FB}"/>
            </a:ext>
          </a:extLst>
        </xdr:cNvPr>
        <xdr:cNvSpPr/>
      </xdr:nvSpPr>
      <xdr:spPr>
        <a:xfrm>
          <a:off x="142875" y="1714500"/>
          <a:ext cx="1495425" cy="381000"/>
        </a:xfrm>
        <a:prstGeom prst="round2SameRect">
          <a:avLst/>
        </a:prstGeom>
        <a:gradFill flip="none" rotWithShape="1">
          <a:gsLst>
            <a:gs pos="0">
              <a:schemeClr val="accent2">
                <a:lumMod val="50000"/>
              </a:schemeClr>
            </a:gs>
            <a:gs pos="100000">
              <a:schemeClr val="dk1">
                <a:lumMod val="99000"/>
                <a:satMod val="120000"/>
                <a:shade val="78000"/>
              </a:schemeClr>
            </a:gs>
          </a:gsLst>
          <a:path path="circle">
            <a:fillToRect l="50000" t="50000" r="50000" b="50000"/>
          </a:path>
          <a:tileRect/>
        </a:gradFill>
        <a:ln>
          <a:headEnd type="none" w="med" len="med"/>
          <a:tailEnd type="none" w="med" len="med"/>
        </a:ln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0" i="0">
              <a:solidFill>
                <a:schemeClr val="bg1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28575</xdr:colOff>
      <xdr:row>1</xdr:row>
      <xdr:rowOff>0</xdr:rowOff>
    </xdr:from>
    <xdr:to>
      <xdr:col>0</xdr:col>
      <xdr:colOff>1771650</xdr:colOff>
      <xdr:row>6</xdr:row>
      <xdr:rowOff>228600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7E635799-8CFB-49EF-7103-D8351971F216}"/>
            </a:ext>
          </a:extLst>
        </xdr:cNvPr>
        <xdr:cNvGrpSpPr/>
      </xdr:nvGrpSpPr>
      <xdr:grpSpPr>
        <a:xfrm>
          <a:off x="28575" y="247650"/>
          <a:ext cx="1743075" cy="1466850"/>
          <a:chOff x="28575" y="247650"/>
          <a:chExt cx="1743075" cy="1466850"/>
        </a:xfrm>
      </xdr:grpSpPr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8E1F9617-1F6F-E317-C04C-3EA58F536F0D}"/>
              </a:ext>
            </a:extLst>
          </xdr:cNvPr>
          <xdr:cNvSpPr/>
        </xdr:nvSpPr>
        <xdr:spPr>
          <a:xfrm>
            <a:off x="133350" y="247650"/>
            <a:ext cx="1514475" cy="381000"/>
          </a:xfrm>
          <a:prstGeom prst="round2SameRect">
            <a:avLst/>
          </a:prstGeom>
          <a:gradFill flip="none" rotWithShape="1">
            <a:gsLst>
              <a:gs pos="0">
                <a:schemeClr val="accent2">
                  <a:lumMod val="50000"/>
                </a:schemeClr>
              </a:gs>
              <a:gs pos="100000">
                <a:schemeClr val="dk1">
                  <a:lumMod val="99000"/>
                  <a:satMod val="120000"/>
                  <a:shade val="78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headEnd type="none" w="med" len="med"/>
            <a:tailEnd type="none" w="med" len="med"/>
          </a:ln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pt-BR" sz="1600" b="0" i="0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rPr>
              <a:t>INFORME IR</a:t>
            </a:r>
          </a:p>
        </xdr:txBody>
      </xdr:sp>
      <xdr:pic>
        <xdr:nvPicPr>
          <xdr:cNvPr id="32" name="Imagem 31">
            <a:extLst>
              <a:ext uri="{FF2B5EF4-FFF2-40B4-BE49-F238E27FC236}">
                <a16:creationId xmlns:a16="http://schemas.microsoft.com/office/drawing/2014/main" id="{BFD7D3D2-1DBA-92BA-1446-E4B6C8A81B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304800"/>
            <a:ext cx="1743075" cy="1409700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152400</xdr:colOff>
      <xdr:row>8</xdr:row>
      <xdr:rowOff>190500</xdr:rowOff>
    </xdr:from>
    <xdr:to>
      <xdr:col>0</xdr:col>
      <xdr:colOff>1647825</xdr:colOff>
      <xdr:row>10</xdr:row>
      <xdr:rowOff>76200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A37F408-B025-4650-B7D5-C5B351020965}"/>
            </a:ext>
          </a:extLst>
        </xdr:cNvPr>
        <xdr:cNvSpPr/>
      </xdr:nvSpPr>
      <xdr:spPr>
        <a:xfrm>
          <a:off x="152400" y="2171700"/>
          <a:ext cx="1495425" cy="381000"/>
        </a:xfrm>
        <a:prstGeom prst="round2SameRect">
          <a:avLst/>
        </a:prstGeom>
        <a:noFill/>
        <a:ln>
          <a:headEnd type="none" w="med" len="med"/>
          <a:tailEnd type="none" w="med" len="med"/>
        </a:ln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0" i="0">
              <a:solidFill>
                <a:schemeClr val="bg1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161925</xdr:colOff>
      <xdr:row>10</xdr:row>
      <xdr:rowOff>152400</xdr:rowOff>
    </xdr:from>
    <xdr:to>
      <xdr:col>0</xdr:col>
      <xdr:colOff>1657350</xdr:colOff>
      <xdr:row>12</xdr:row>
      <xdr:rowOff>38100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08EBB1-E486-CF16-BD98-01F1870A6E6C}"/>
            </a:ext>
          </a:extLst>
        </xdr:cNvPr>
        <xdr:cNvSpPr/>
      </xdr:nvSpPr>
      <xdr:spPr>
        <a:xfrm>
          <a:off x="161925" y="2628900"/>
          <a:ext cx="1495425" cy="381000"/>
        </a:xfrm>
        <a:prstGeom prst="round2SameRect">
          <a:avLst/>
        </a:prstGeom>
        <a:noFill/>
        <a:ln>
          <a:headEnd type="none" w="med" len="med"/>
          <a:tailEnd type="none" w="med" len="med"/>
        </a:ln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0" i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171450</xdr:colOff>
      <xdr:row>15</xdr:row>
      <xdr:rowOff>38100</xdr:rowOff>
    </xdr:from>
    <xdr:to>
      <xdr:col>0</xdr:col>
      <xdr:colOff>1590675</xdr:colOff>
      <xdr:row>16</xdr:row>
      <xdr:rowOff>57150</xdr:rowOff>
    </xdr:to>
    <xdr:sp macro="" textlink="">
      <xdr:nvSpPr>
        <xdr:cNvPr id="25" name="Retângulo: Cantos Superiores Arredondados 24">
          <a:extLst>
            <a:ext uri="{FF2B5EF4-FFF2-40B4-BE49-F238E27FC236}">
              <a16:creationId xmlns:a16="http://schemas.microsoft.com/office/drawing/2014/main" id="{87A54235-1A76-5476-9FF2-6A3957E6714A}"/>
            </a:ext>
          </a:extLst>
        </xdr:cNvPr>
        <xdr:cNvSpPr/>
      </xdr:nvSpPr>
      <xdr:spPr>
        <a:xfrm>
          <a:off x="171450" y="3752850"/>
          <a:ext cx="1419225" cy="266700"/>
        </a:xfrm>
        <a:prstGeom prst="round2SameRect">
          <a:avLst/>
        </a:prstGeom>
        <a:gradFill flip="none" rotWithShape="1">
          <a:gsLst>
            <a:gs pos="0">
              <a:schemeClr val="accent2">
                <a:lumMod val="50000"/>
              </a:schemeClr>
            </a:gs>
            <a:gs pos="100000">
              <a:schemeClr val="dk1">
                <a:lumMod val="99000"/>
                <a:satMod val="120000"/>
                <a:shade val="78000"/>
              </a:schemeClr>
            </a:gs>
          </a:gsLst>
          <a:path path="circle">
            <a:fillToRect l="50000" t="50000" r="50000" b="50000"/>
          </a:path>
          <a:tileRect/>
        </a:gradFill>
        <a:ln>
          <a:headEnd type="none" w="med" len="med"/>
          <a:tailEnd type="none" w="med" len="med"/>
        </a:ln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000" b="0" i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System</a:t>
          </a:r>
          <a:r>
            <a:rPr lang="pt-BR" sz="1000" b="0" i="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by Gabie </a:t>
          </a:r>
          <a:r>
            <a:rPr lang="pt-BR" sz="900" b="0" i="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😊</a:t>
          </a:r>
          <a:endParaRPr lang="pt-BR" sz="1400" b="0" i="0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561976</xdr:colOff>
      <xdr:row>17</xdr:row>
      <xdr:rowOff>95250</xdr:rowOff>
    </xdr:from>
    <xdr:to>
      <xdr:col>4</xdr:col>
      <xdr:colOff>9525</xdr:colOff>
      <xdr:row>18</xdr:row>
      <xdr:rowOff>57150</xdr:rowOff>
    </xdr:to>
    <xdr:sp macro="" textlink="">
      <xdr:nvSpPr>
        <xdr:cNvPr id="30" name="Retângulo: Cantos Superiores Arredondados 2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F380FE4-E52A-DD9C-A9EB-0B9625F4543A}"/>
            </a:ext>
          </a:extLst>
        </xdr:cNvPr>
        <xdr:cNvSpPr/>
      </xdr:nvSpPr>
      <xdr:spPr>
        <a:xfrm>
          <a:off x="4810126" y="4305300"/>
          <a:ext cx="1495424" cy="209550"/>
        </a:xfrm>
        <a:prstGeom prst="round2SameRect">
          <a:avLst/>
        </a:prstGeom>
        <a:gradFill flip="none" rotWithShape="1">
          <a:gsLst>
            <a:gs pos="0">
              <a:schemeClr val="accent2">
                <a:lumMod val="50000"/>
              </a:schemeClr>
            </a:gs>
            <a:gs pos="100000">
              <a:schemeClr val="dk1">
                <a:lumMod val="99000"/>
                <a:satMod val="120000"/>
                <a:shade val="78000"/>
              </a:schemeClr>
            </a:gs>
          </a:gsLst>
          <a:path path="circle">
            <a:fillToRect l="50000" t="50000" r="50000" b="50000"/>
          </a:path>
          <a:tileRect/>
        </a:gradFill>
        <a:ln>
          <a:headEnd type="none" w="med" len="med"/>
          <a:tailEnd type="none" w="med" len="med"/>
        </a:ln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000" b="0" i="0">
              <a:solidFill>
                <a:schemeClr val="bg1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PRÓXIMO ➡️</a:t>
          </a:r>
          <a:r>
            <a:rPr lang="pt-BR" sz="1000" b="0">
              <a:effectLst/>
            </a:rPr>
            <a:t> </a:t>
          </a:r>
          <a:r>
            <a:rPr lang="pt-BR" sz="1000" b="0" i="0" baseline="0">
              <a:solidFill>
                <a:schemeClr val="bg1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 </a:t>
          </a:r>
          <a:endParaRPr lang="pt-BR" sz="1000" b="0" i="0">
            <a:solidFill>
              <a:schemeClr val="bg1"/>
            </a:solidFill>
            <a:latin typeface="Segoe UI" panose="020B05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142875</xdr:colOff>
      <xdr:row>6</xdr:row>
      <xdr:rowOff>228600</xdr:rowOff>
    </xdr:from>
    <xdr:to>
      <xdr:col>0</xdr:col>
      <xdr:colOff>1638300</xdr:colOff>
      <xdr:row>8</xdr:row>
      <xdr:rowOff>114300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52528C-9F62-4F34-AE59-44D5DAC4CDEC}"/>
            </a:ext>
          </a:extLst>
        </xdr:cNvPr>
        <xdr:cNvSpPr/>
      </xdr:nvSpPr>
      <xdr:spPr>
        <a:xfrm>
          <a:off x="142875" y="1714500"/>
          <a:ext cx="1495425" cy="381000"/>
        </a:xfrm>
        <a:prstGeom prst="round2SameRect">
          <a:avLst/>
        </a:prstGeom>
        <a:noFill/>
        <a:ln>
          <a:headEnd type="none" w="med" len="med"/>
          <a:tailEnd type="none" w="med" len="med"/>
        </a:ln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0" i="0">
              <a:solidFill>
                <a:schemeClr val="bg1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28575</xdr:colOff>
      <xdr:row>1</xdr:row>
      <xdr:rowOff>0</xdr:rowOff>
    </xdr:from>
    <xdr:to>
      <xdr:col>0</xdr:col>
      <xdr:colOff>1771650</xdr:colOff>
      <xdr:row>6</xdr:row>
      <xdr:rowOff>228600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1A274F71-F3EA-403C-AA1A-B1A82D1DBEE4}"/>
            </a:ext>
          </a:extLst>
        </xdr:cNvPr>
        <xdr:cNvGrpSpPr/>
      </xdr:nvGrpSpPr>
      <xdr:grpSpPr>
        <a:xfrm>
          <a:off x="28575" y="247650"/>
          <a:ext cx="1743075" cy="1466850"/>
          <a:chOff x="28575" y="247650"/>
          <a:chExt cx="1743075" cy="1466850"/>
        </a:xfrm>
      </xdr:grpSpPr>
      <xdr:sp macro="" textlink="">
        <xdr:nvSpPr>
          <xdr:cNvPr id="4" name="Retângulo: Cantos Superiores Arredondados 3">
            <a:extLst>
              <a:ext uri="{FF2B5EF4-FFF2-40B4-BE49-F238E27FC236}">
                <a16:creationId xmlns:a16="http://schemas.microsoft.com/office/drawing/2014/main" id="{9B117F1F-5D32-6AF0-8433-1FF53352204B}"/>
              </a:ext>
            </a:extLst>
          </xdr:cNvPr>
          <xdr:cNvSpPr/>
        </xdr:nvSpPr>
        <xdr:spPr>
          <a:xfrm>
            <a:off x="133350" y="247650"/>
            <a:ext cx="1514475" cy="381000"/>
          </a:xfrm>
          <a:prstGeom prst="round2SameRect">
            <a:avLst/>
          </a:prstGeom>
          <a:gradFill flip="none" rotWithShape="1">
            <a:gsLst>
              <a:gs pos="0">
                <a:schemeClr val="accent2">
                  <a:lumMod val="50000"/>
                </a:schemeClr>
              </a:gs>
              <a:gs pos="100000">
                <a:schemeClr val="dk1">
                  <a:lumMod val="99000"/>
                  <a:satMod val="120000"/>
                  <a:shade val="78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headEnd type="none" w="med" len="med"/>
            <a:tailEnd type="none" w="med" len="med"/>
          </a:ln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pt-BR" sz="1600" b="0" i="0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rPr>
              <a:t>INFORME IR</a:t>
            </a:r>
          </a:p>
        </xdr:txBody>
      </xdr:sp>
      <xdr:pic>
        <xdr:nvPicPr>
          <xdr:cNvPr id="5" name="Imagem 4">
            <a:extLst>
              <a:ext uri="{FF2B5EF4-FFF2-40B4-BE49-F238E27FC236}">
                <a16:creationId xmlns:a16="http://schemas.microsoft.com/office/drawing/2014/main" id="{CF8BB256-343B-551A-D9FD-97322C8FAA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304800"/>
            <a:ext cx="1743075" cy="1409700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152400</xdr:colOff>
      <xdr:row>8</xdr:row>
      <xdr:rowOff>190500</xdr:rowOff>
    </xdr:from>
    <xdr:to>
      <xdr:col>0</xdr:col>
      <xdr:colOff>1647825</xdr:colOff>
      <xdr:row>10</xdr:row>
      <xdr:rowOff>76200</xdr:rowOff>
    </xdr:to>
    <xdr:sp macro="" textlink="">
      <xdr:nvSpPr>
        <xdr:cNvPr id="6" name="Retângulo: Cantos Superiore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2BD2D94-7119-4BD4-AC51-8923DD5F2829}"/>
            </a:ext>
          </a:extLst>
        </xdr:cNvPr>
        <xdr:cNvSpPr/>
      </xdr:nvSpPr>
      <xdr:spPr>
        <a:xfrm>
          <a:off x="152400" y="2171700"/>
          <a:ext cx="1495425" cy="381000"/>
        </a:xfrm>
        <a:prstGeom prst="round2SameRect">
          <a:avLst/>
        </a:prstGeom>
        <a:gradFill flip="none" rotWithShape="1">
          <a:gsLst>
            <a:gs pos="0">
              <a:schemeClr val="accent2">
                <a:lumMod val="50000"/>
              </a:schemeClr>
            </a:gs>
            <a:gs pos="100000">
              <a:schemeClr val="dk1">
                <a:lumMod val="99000"/>
                <a:satMod val="120000"/>
                <a:shade val="78000"/>
              </a:schemeClr>
            </a:gs>
          </a:gsLst>
          <a:path path="circle">
            <a:fillToRect l="50000" t="50000" r="50000" b="50000"/>
          </a:path>
          <a:tileRect/>
        </a:gradFill>
        <a:ln>
          <a:headEnd type="none" w="med" len="med"/>
          <a:tailEnd type="none" w="med" len="med"/>
        </a:ln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0" i="0">
              <a:solidFill>
                <a:schemeClr val="bg1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161925</xdr:colOff>
      <xdr:row>10</xdr:row>
      <xdr:rowOff>152400</xdr:rowOff>
    </xdr:from>
    <xdr:to>
      <xdr:col>0</xdr:col>
      <xdr:colOff>1657350</xdr:colOff>
      <xdr:row>12</xdr:row>
      <xdr:rowOff>38100</xdr:rowOff>
    </xdr:to>
    <xdr:sp macro="" textlink="">
      <xdr:nvSpPr>
        <xdr:cNvPr id="7" name="Retângulo: Cantos Superiore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8B9C696-6AE2-4E7E-9E0D-A5B8089DE755}"/>
            </a:ext>
          </a:extLst>
        </xdr:cNvPr>
        <xdr:cNvSpPr/>
      </xdr:nvSpPr>
      <xdr:spPr>
        <a:xfrm>
          <a:off x="161925" y="2628900"/>
          <a:ext cx="1495425" cy="381000"/>
        </a:xfrm>
        <a:prstGeom prst="round2SameRect">
          <a:avLst/>
        </a:prstGeom>
        <a:noFill/>
        <a:ln>
          <a:headEnd type="none" w="med" len="med"/>
          <a:tailEnd type="none" w="med" len="med"/>
        </a:ln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0" i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171450</xdr:colOff>
      <xdr:row>15</xdr:row>
      <xdr:rowOff>38100</xdr:rowOff>
    </xdr:from>
    <xdr:to>
      <xdr:col>0</xdr:col>
      <xdr:colOff>1590675</xdr:colOff>
      <xdr:row>16</xdr:row>
      <xdr:rowOff>57150</xdr:rowOff>
    </xdr:to>
    <xdr:sp macro="" textlink="">
      <xdr:nvSpPr>
        <xdr:cNvPr id="9" name="Retângulo: Cantos Superiores Arredondados 8">
          <a:extLst>
            <a:ext uri="{FF2B5EF4-FFF2-40B4-BE49-F238E27FC236}">
              <a16:creationId xmlns:a16="http://schemas.microsoft.com/office/drawing/2014/main" id="{27D4DCE3-E5ED-4B6C-8B97-D10483108679}"/>
            </a:ext>
          </a:extLst>
        </xdr:cNvPr>
        <xdr:cNvSpPr/>
      </xdr:nvSpPr>
      <xdr:spPr>
        <a:xfrm>
          <a:off x="171450" y="3752850"/>
          <a:ext cx="1419225" cy="266700"/>
        </a:xfrm>
        <a:prstGeom prst="round2SameRect">
          <a:avLst/>
        </a:prstGeom>
        <a:gradFill flip="none" rotWithShape="1">
          <a:gsLst>
            <a:gs pos="0">
              <a:schemeClr val="accent2">
                <a:lumMod val="50000"/>
              </a:schemeClr>
            </a:gs>
            <a:gs pos="100000">
              <a:schemeClr val="dk1">
                <a:lumMod val="99000"/>
                <a:satMod val="120000"/>
                <a:shade val="78000"/>
              </a:schemeClr>
            </a:gs>
          </a:gsLst>
          <a:path path="circle">
            <a:fillToRect l="50000" t="50000" r="50000" b="50000"/>
          </a:path>
          <a:tileRect/>
        </a:gradFill>
        <a:ln>
          <a:headEnd type="none" w="med" len="med"/>
          <a:tailEnd type="none" w="med" len="med"/>
        </a:ln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000" b="0" i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System</a:t>
          </a:r>
          <a:r>
            <a:rPr lang="pt-BR" sz="1000" b="0" i="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by Gabie</a:t>
          </a:r>
          <a:r>
            <a:rPr lang="pt-BR" sz="900" b="0" i="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😊</a:t>
          </a:r>
          <a:endParaRPr lang="pt-BR" sz="1400" b="0" i="0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25</xdr:row>
      <xdr:rowOff>95250</xdr:rowOff>
    </xdr:from>
    <xdr:to>
      <xdr:col>2</xdr:col>
      <xdr:colOff>1495424</xdr:colOff>
      <xdr:row>26</xdr:row>
      <xdr:rowOff>57150</xdr:rowOff>
    </xdr:to>
    <xdr:sp macro="" textlink="">
      <xdr:nvSpPr>
        <xdr:cNvPr id="8" name="Retângulo: Cantos Superiores Arredondado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69312-E7C0-4887-91EF-A460C71E87B4}"/>
            </a:ext>
          </a:extLst>
        </xdr:cNvPr>
        <xdr:cNvSpPr/>
      </xdr:nvSpPr>
      <xdr:spPr>
        <a:xfrm>
          <a:off x="2200275" y="6286500"/>
          <a:ext cx="1495424" cy="209550"/>
        </a:xfrm>
        <a:prstGeom prst="round2SameRect">
          <a:avLst/>
        </a:prstGeom>
        <a:gradFill flip="none" rotWithShape="1">
          <a:gsLst>
            <a:gs pos="0">
              <a:schemeClr val="accent2">
                <a:lumMod val="50000"/>
              </a:schemeClr>
            </a:gs>
            <a:gs pos="100000">
              <a:schemeClr val="dk1">
                <a:lumMod val="99000"/>
                <a:satMod val="120000"/>
                <a:shade val="78000"/>
              </a:schemeClr>
            </a:gs>
          </a:gsLst>
          <a:path path="circle">
            <a:fillToRect l="50000" t="50000" r="50000" b="50000"/>
          </a:path>
          <a:tileRect/>
        </a:gradFill>
        <a:ln>
          <a:headEnd type="none" w="med" len="med"/>
          <a:tailEnd type="none" w="med" len="med"/>
        </a:ln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000" b="0" i="0">
              <a:solidFill>
                <a:schemeClr val="bg1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ANTERIOR ⬅️</a:t>
          </a:r>
          <a:r>
            <a:rPr lang="pt-BR" sz="1000" b="0">
              <a:effectLst/>
            </a:rPr>
            <a:t> </a:t>
          </a:r>
          <a:r>
            <a:rPr lang="pt-BR" sz="1000" b="0" i="0" baseline="0">
              <a:solidFill>
                <a:schemeClr val="bg1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 </a:t>
          </a:r>
          <a:endParaRPr lang="pt-BR" sz="1000" b="0" i="0">
            <a:solidFill>
              <a:schemeClr val="bg1"/>
            </a:solidFill>
            <a:latin typeface="Segoe UI" panose="020B05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552450</xdr:colOff>
      <xdr:row>25</xdr:row>
      <xdr:rowOff>104775</xdr:rowOff>
    </xdr:from>
    <xdr:to>
      <xdr:col>3</xdr:col>
      <xdr:colOff>2047874</xdr:colOff>
      <xdr:row>26</xdr:row>
      <xdr:rowOff>66675</xdr:rowOff>
    </xdr:to>
    <xdr:sp macro="" textlink="">
      <xdr:nvSpPr>
        <xdr:cNvPr id="10" name="Retângulo: Cantos Superiore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DA827DF-8A8A-416C-B9D1-BAF8F7715819}"/>
            </a:ext>
          </a:extLst>
        </xdr:cNvPr>
        <xdr:cNvSpPr/>
      </xdr:nvSpPr>
      <xdr:spPr>
        <a:xfrm>
          <a:off x="4800600" y="6296025"/>
          <a:ext cx="1495424" cy="209550"/>
        </a:xfrm>
        <a:prstGeom prst="round2SameRect">
          <a:avLst/>
        </a:prstGeom>
        <a:gradFill flip="none" rotWithShape="1">
          <a:gsLst>
            <a:gs pos="0">
              <a:schemeClr val="accent2">
                <a:lumMod val="50000"/>
              </a:schemeClr>
            </a:gs>
            <a:gs pos="100000">
              <a:schemeClr val="dk1">
                <a:lumMod val="99000"/>
                <a:satMod val="120000"/>
                <a:shade val="78000"/>
              </a:schemeClr>
            </a:gs>
          </a:gsLst>
          <a:path path="circle">
            <a:fillToRect l="50000" t="50000" r="50000" b="50000"/>
          </a:path>
          <a:tileRect/>
        </a:gradFill>
        <a:ln>
          <a:headEnd type="none" w="med" len="med"/>
          <a:tailEnd type="none" w="med" len="med"/>
        </a:ln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000" b="0" i="0">
              <a:solidFill>
                <a:schemeClr val="bg1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PRÓXIMO ➡️</a:t>
          </a:r>
          <a:r>
            <a:rPr lang="pt-BR" sz="1000" b="0">
              <a:effectLst/>
            </a:rPr>
            <a:t> </a:t>
          </a:r>
          <a:r>
            <a:rPr lang="pt-BR" sz="1000" b="0" i="0" baseline="0">
              <a:solidFill>
                <a:schemeClr val="bg1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 </a:t>
          </a:r>
          <a:endParaRPr lang="pt-BR" sz="1000" b="0" i="0">
            <a:solidFill>
              <a:schemeClr val="bg1"/>
            </a:solidFill>
            <a:latin typeface="Segoe UI" panose="020B05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4</xdr:col>
      <xdr:colOff>209550</xdr:colOff>
      <xdr:row>1</xdr:row>
      <xdr:rowOff>28575</xdr:rowOff>
    </xdr:from>
    <xdr:to>
      <xdr:col>7</xdr:col>
      <xdr:colOff>1162050</xdr:colOff>
      <xdr:row>14</xdr:row>
      <xdr:rowOff>238125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A1D6D94D-FE88-0827-88A6-A2A51CD38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142875</xdr:colOff>
      <xdr:row>6</xdr:row>
      <xdr:rowOff>228600</xdr:rowOff>
    </xdr:from>
    <xdr:to>
      <xdr:col>0</xdr:col>
      <xdr:colOff>1638300</xdr:colOff>
      <xdr:row>8</xdr:row>
      <xdr:rowOff>114300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7BB879-765E-4A0B-B467-AE9B1FEBF56D}"/>
            </a:ext>
          </a:extLst>
        </xdr:cNvPr>
        <xdr:cNvSpPr/>
      </xdr:nvSpPr>
      <xdr:spPr>
        <a:xfrm>
          <a:off x="142875" y="1714500"/>
          <a:ext cx="1495425" cy="381000"/>
        </a:xfrm>
        <a:prstGeom prst="round2SameRect">
          <a:avLst/>
        </a:prstGeom>
        <a:noFill/>
        <a:ln>
          <a:headEnd type="none" w="med" len="med"/>
          <a:tailEnd type="none" w="med" len="med"/>
        </a:ln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0" i="0">
              <a:solidFill>
                <a:schemeClr val="bg1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28575</xdr:colOff>
      <xdr:row>1</xdr:row>
      <xdr:rowOff>0</xdr:rowOff>
    </xdr:from>
    <xdr:to>
      <xdr:col>0</xdr:col>
      <xdr:colOff>1771650</xdr:colOff>
      <xdr:row>6</xdr:row>
      <xdr:rowOff>228600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1F8EF886-A1F9-4B76-AA28-31E90F7EE94B}"/>
            </a:ext>
          </a:extLst>
        </xdr:cNvPr>
        <xdr:cNvGrpSpPr/>
      </xdr:nvGrpSpPr>
      <xdr:grpSpPr>
        <a:xfrm>
          <a:off x="28575" y="247650"/>
          <a:ext cx="1743075" cy="1466850"/>
          <a:chOff x="28575" y="247650"/>
          <a:chExt cx="1743075" cy="1466850"/>
        </a:xfrm>
      </xdr:grpSpPr>
      <xdr:sp macro="" textlink="">
        <xdr:nvSpPr>
          <xdr:cNvPr id="4" name="Retângulo: Cantos Superiores Arredondados 3">
            <a:extLst>
              <a:ext uri="{FF2B5EF4-FFF2-40B4-BE49-F238E27FC236}">
                <a16:creationId xmlns:a16="http://schemas.microsoft.com/office/drawing/2014/main" id="{96D25981-1E5A-5602-02FD-04374E01D69B}"/>
              </a:ext>
            </a:extLst>
          </xdr:cNvPr>
          <xdr:cNvSpPr/>
        </xdr:nvSpPr>
        <xdr:spPr>
          <a:xfrm>
            <a:off x="133350" y="247650"/>
            <a:ext cx="1514475" cy="381000"/>
          </a:xfrm>
          <a:prstGeom prst="round2SameRect">
            <a:avLst/>
          </a:prstGeom>
          <a:gradFill flip="none" rotWithShape="1">
            <a:gsLst>
              <a:gs pos="0">
                <a:schemeClr val="accent2">
                  <a:lumMod val="50000"/>
                </a:schemeClr>
              </a:gs>
              <a:gs pos="100000">
                <a:schemeClr val="dk1">
                  <a:lumMod val="99000"/>
                  <a:satMod val="120000"/>
                  <a:shade val="78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headEnd type="none" w="med" len="med"/>
            <a:tailEnd type="none" w="med" len="med"/>
          </a:ln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pt-BR" sz="1600" b="0" i="0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rPr>
              <a:t>INFORME IR</a:t>
            </a:r>
          </a:p>
        </xdr:txBody>
      </xdr:sp>
      <xdr:pic>
        <xdr:nvPicPr>
          <xdr:cNvPr id="5" name="Imagem 4">
            <a:extLst>
              <a:ext uri="{FF2B5EF4-FFF2-40B4-BE49-F238E27FC236}">
                <a16:creationId xmlns:a16="http://schemas.microsoft.com/office/drawing/2014/main" id="{BD5FA8FE-4376-6A39-4AB1-CC19838E41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304800"/>
            <a:ext cx="1743075" cy="1409700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152400</xdr:colOff>
      <xdr:row>8</xdr:row>
      <xdr:rowOff>190500</xdr:rowOff>
    </xdr:from>
    <xdr:to>
      <xdr:col>0</xdr:col>
      <xdr:colOff>1647825</xdr:colOff>
      <xdr:row>10</xdr:row>
      <xdr:rowOff>76200</xdr:rowOff>
    </xdr:to>
    <xdr:sp macro="" textlink="">
      <xdr:nvSpPr>
        <xdr:cNvPr id="6" name="Retângulo: Cantos Superiore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04C403-03A8-4988-AF34-28BCB12280D8}"/>
            </a:ext>
          </a:extLst>
        </xdr:cNvPr>
        <xdr:cNvSpPr/>
      </xdr:nvSpPr>
      <xdr:spPr>
        <a:xfrm>
          <a:off x="152400" y="2171700"/>
          <a:ext cx="1495425" cy="381000"/>
        </a:xfrm>
        <a:prstGeom prst="round2SameRect">
          <a:avLst/>
        </a:prstGeom>
        <a:noFill/>
        <a:ln>
          <a:headEnd type="none" w="med" len="med"/>
          <a:tailEnd type="none" w="med" len="med"/>
        </a:ln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0" i="0">
              <a:solidFill>
                <a:schemeClr val="bg1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161925</xdr:colOff>
      <xdr:row>10</xdr:row>
      <xdr:rowOff>152400</xdr:rowOff>
    </xdr:from>
    <xdr:to>
      <xdr:col>0</xdr:col>
      <xdr:colOff>1657350</xdr:colOff>
      <xdr:row>12</xdr:row>
      <xdr:rowOff>38100</xdr:rowOff>
    </xdr:to>
    <xdr:sp macro="" textlink="">
      <xdr:nvSpPr>
        <xdr:cNvPr id="7" name="Retângulo: Cantos Superiore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1942919-5C4B-4695-842B-30AAEF265B63}"/>
            </a:ext>
          </a:extLst>
        </xdr:cNvPr>
        <xdr:cNvSpPr/>
      </xdr:nvSpPr>
      <xdr:spPr>
        <a:xfrm>
          <a:off x="161925" y="2628900"/>
          <a:ext cx="1495425" cy="381000"/>
        </a:xfrm>
        <a:prstGeom prst="round2SameRect">
          <a:avLst/>
        </a:prstGeom>
        <a:gradFill flip="none" rotWithShape="1">
          <a:gsLst>
            <a:gs pos="0">
              <a:schemeClr val="accent2">
                <a:lumMod val="50000"/>
              </a:schemeClr>
            </a:gs>
            <a:gs pos="100000">
              <a:schemeClr val="dk1">
                <a:lumMod val="99000"/>
                <a:satMod val="120000"/>
                <a:shade val="78000"/>
              </a:schemeClr>
            </a:gs>
          </a:gsLst>
          <a:path path="circle">
            <a:fillToRect l="50000" t="50000" r="50000" b="50000"/>
          </a:path>
          <a:tileRect/>
        </a:gradFill>
        <a:ln>
          <a:headEnd type="none" w="med" len="med"/>
          <a:tailEnd type="none" w="med" len="med"/>
        </a:ln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0" i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171450</xdr:colOff>
      <xdr:row>15</xdr:row>
      <xdr:rowOff>38100</xdr:rowOff>
    </xdr:from>
    <xdr:to>
      <xdr:col>0</xdr:col>
      <xdr:colOff>1590675</xdr:colOff>
      <xdr:row>16</xdr:row>
      <xdr:rowOff>57150</xdr:rowOff>
    </xdr:to>
    <xdr:sp macro="" textlink="">
      <xdr:nvSpPr>
        <xdr:cNvPr id="9" name="Retângulo: Cantos Superiores Arredondados 8">
          <a:extLst>
            <a:ext uri="{FF2B5EF4-FFF2-40B4-BE49-F238E27FC236}">
              <a16:creationId xmlns:a16="http://schemas.microsoft.com/office/drawing/2014/main" id="{D781A62F-E03B-41BD-B2FE-2F092E4B45E5}"/>
            </a:ext>
          </a:extLst>
        </xdr:cNvPr>
        <xdr:cNvSpPr/>
      </xdr:nvSpPr>
      <xdr:spPr>
        <a:xfrm>
          <a:off x="171450" y="3752850"/>
          <a:ext cx="1419225" cy="266700"/>
        </a:xfrm>
        <a:prstGeom prst="round2SameRect">
          <a:avLst/>
        </a:prstGeom>
        <a:gradFill flip="none" rotWithShape="1">
          <a:gsLst>
            <a:gs pos="0">
              <a:schemeClr val="accent2">
                <a:lumMod val="50000"/>
              </a:schemeClr>
            </a:gs>
            <a:gs pos="100000">
              <a:schemeClr val="dk1">
                <a:lumMod val="99000"/>
                <a:satMod val="120000"/>
                <a:shade val="78000"/>
              </a:schemeClr>
            </a:gs>
          </a:gsLst>
          <a:path path="circle">
            <a:fillToRect l="50000" t="50000" r="50000" b="50000"/>
          </a:path>
          <a:tileRect/>
        </a:gradFill>
        <a:ln>
          <a:headEnd type="none" w="med" len="med"/>
          <a:tailEnd type="none" w="med" len="med"/>
        </a:ln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000" b="0" i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System</a:t>
          </a:r>
          <a:r>
            <a:rPr lang="pt-BR" sz="1000" b="0" i="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by Gabie</a:t>
          </a:r>
          <a:r>
            <a:rPr lang="pt-BR" sz="900" b="0" i="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😊</a:t>
          </a:r>
          <a:endParaRPr lang="pt-BR" sz="1400" b="0" i="0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3</xdr:row>
      <xdr:rowOff>9525</xdr:rowOff>
    </xdr:from>
    <xdr:to>
      <xdr:col>2</xdr:col>
      <xdr:colOff>1495424</xdr:colOff>
      <xdr:row>3</xdr:row>
      <xdr:rowOff>219075</xdr:rowOff>
    </xdr:to>
    <xdr:sp macro="" textlink="">
      <xdr:nvSpPr>
        <xdr:cNvPr id="8" name="Retângulo: Cantos Superiore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E336DF6-1F14-4703-9DFB-9AD9F17826D0}"/>
            </a:ext>
          </a:extLst>
        </xdr:cNvPr>
        <xdr:cNvSpPr/>
      </xdr:nvSpPr>
      <xdr:spPr>
        <a:xfrm>
          <a:off x="2200275" y="752475"/>
          <a:ext cx="1495424" cy="209550"/>
        </a:xfrm>
        <a:prstGeom prst="round2SameRect">
          <a:avLst/>
        </a:prstGeom>
        <a:gradFill flip="none" rotWithShape="1">
          <a:gsLst>
            <a:gs pos="0">
              <a:schemeClr val="accent2">
                <a:lumMod val="50000"/>
              </a:schemeClr>
            </a:gs>
            <a:gs pos="100000">
              <a:schemeClr val="dk1">
                <a:lumMod val="99000"/>
                <a:satMod val="120000"/>
                <a:shade val="78000"/>
              </a:schemeClr>
            </a:gs>
          </a:gsLst>
          <a:path path="circle">
            <a:fillToRect l="50000" t="50000" r="50000" b="50000"/>
          </a:path>
          <a:tileRect/>
        </a:gradFill>
        <a:ln>
          <a:headEnd type="none" w="med" len="med"/>
          <a:tailEnd type="none" w="med" len="med"/>
        </a:ln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000" b="0" i="0">
              <a:solidFill>
                <a:schemeClr val="bg1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ANTERIOR ⬅️</a:t>
          </a:r>
          <a:r>
            <a:rPr lang="pt-BR" sz="1000" b="0">
              <a:effectLst/>
            </a:rPr>
            <a:t> </a:t>
          </a:r>
          <a:r>
            <a:rPr lang="pt-BR" sz="1000" b="0" i="0" baseline="0">
              <a:solidFill>
                <a:schemeClr val="bg1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 </a:t>
          </a:r>
          <a:endParaRPr lang="pt-BR" sz="1000" b="0" i="0">
            <a:solidFill>
              <a:schemeClr val="bg1"/>
            </a:solidFill>
            <a:latin typeface="Segoe UI" panose="020B05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66FADE-5DF2-451B-8BFD-5B9619D2EB27}" name="Tabela2" displayName="Tabela2" ref="C6:E14" totalsRowShown="0" headerRowDxfId="1" dataDxfId="0" headerRowBorderDxfId="10" tableBorderDxfId="5" totalsRowBorderDxfId="9">
  <autoFilter ref="C6:E14" xr:uid="{6466FADE-5DF2-451B-8BFD-5B9619D2EB27}"/>
  <tableColumns count="3">
    <tableColumn id="1" xr3:uid="{5734B3B6-6A29-45D2-A635-6305673D8556}" name="DATA DE ENTRADA" dataDxfId="4"/>
    <tableColumn id="2" xr3:uid="{4F6E8B32-63ED-4B54-AB59-D10873E21F76}" name="CATEGORIA" dataDxfId="3"/>
    <tableColumn id="3" xr3:uid="{4F6835AF-2A5E-4EF6-B0DC-7DBDF439E847}" name="VALOR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414F4F-809E-4AA2-9C86-45D9C042A4BC}" name="Tabela1" displayName="Tabela1" ref="A1:A51" totalsRowShown="0" headerRowDxfId="7" dataDxfId="6">
  <tableColumns count="1">
    <tableColumn id="1" xr3:uid="{3878048B-9A5C-4739-977D-3B581A2A6F00}" name="Bancos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ab@gab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0F8AE-ACB3-456A-97B5-64B883597BCF}">
  <sheetPr>
    <tabColor rgb="FF5A270A"/>
  </sheetPr>
  <dimension ref="A2:D18"/>
  <sheetViews>
    <sheetView showGridLines="0" showRowColHeaders="0" tabSelected="1" workbookViewId="0">
      <selection activeCell="C4" sqref="C4"/>
    </sheetView>
  </sheetViews>
  <sheetFormatPr defaultColWidth="30.7109375" defaultRowHeight="20.100000000000001" customHeight="1" x14ac:dyDescent="0.3"/>
  <cols>
    <col min="1" max="1" width="27.28515625" style="5" customWidth="1"/>
    <col min="2" max="2" width="5.7109375" customWidth="1"/>
    <col min="3" max="3" width="30.7109375" style="1"/>
    <col min="4" max="4" width="30.7109375" style="3"/>
  </cols>
  <sheetData>
    <row r="2" spans="1:4" ht="20.100000000000001" customHeight="1" x14ac:dyDescent="0.5">
      <c r="C2" s="7" t="s">
        <v>11</v>
      </c>
      <c r="D2" s="2"/>
    </row>
    <row r="3" spans="1:4" s="4" customFormat="1" ht="20.100000000000001" customHeight="1" thickBot="1" x14ac:dyDescent="0.25">
      <c r="A3" s="6"/>
      <c r="C3" s="8" t="s">
        <v>21</v>
      </c>
      <c r="D3" s="8"/>
    </row>
    <row r="4" spans="1:4" ht="20.100000000000001" customHeight="1" thickTop="1" x14ac:dyDescent="0.25">
      <c r="C4" s="17" t="s">
        <v>0</v>
      </c>
      <c r="D4" s="18" t="s">
        <v>15</v>
      </c>
    </row>
    <row r="5" spans="1:4" ht="20.100000000000001" customHeight="1" x14ac:dyDescent="0.25">
      <c r="C5" s="19" t="s">
        <v>1</v>
      </c>
      <c r="D5" s="20">
        <v>1234567890</v>
      </c>
    </row>
    <row r="6" spans="1:4" ht="20.100000000000001" customHeight="1" x14ac:dyDescent="0.25">
      <c r="C6" s="19" t="s">
        <v>2</v>
      </c>
      <c r="D6" s="21">
        <v>34818</v>
      </c>
    </row>
    <row r="7" spans="1:4" ht="20.100000000000001" customHeight="1" x14ac:dyDescent="0.25">
      <c r="C7" s="19" t="s">
        <v>3</v>
      </c>
      <c r="D7" s="22">
        <v>1234567890</v>
      </c>
    </row>
    <row r="8" spans="1:4" ht="20.100000000000001" customHeight="1" x14ac:dyDescent="0.25">
      <c r="C8" s="19" t="s">
        <v>4</v>
      </c>
      <c r="D8" s="22"/>
    </row>
    <row r="9" spans="1:4" ht="20.100000000000001" customHeight="1" x14ac:dyDescent="0.25">
      <c r="C9" s="19" t="s">
        <v>5</v>
      </c>
      <c r="D9" s="22" t="s">
        <v>19</v>
      </c>
    </row>
    <row r="10" spans="1:4" ht="20.100000000000001" customHeight="1" x14ac:dyDescent="0.25">
      <c r="C10" s="19" t="s">
        <v>6</v>
      </c>
      <c r="D10" s="22" t="s">
        <v>18</v>
      </c>
    </row>
    <row r="11" spans="1:4" ht="20.100000000000001" customHeight="1" x14ac:dyDescent="0.25">
      <c r="C11" s="19" t="s">
        <v>7</v>
      </c>
      <c r="D11" s="23" t="s">
        <v>17</v>
      </c>
    </row>
    <row r="12" spans="1:4" ht="20.100000000000001" customHeight="1" x14ac:dyDescent="0.25">
      <c r="C12" s="19" t="s">
        <v>10</v>
      </c>
      <c r="D12" s="24">
        <v>1124038971</v>
      </c>
    </row>
    <row r="13" spans="1:4" ht="20.100000000000001" customHeight="1" x14ac:dyDescent="0.25">
      <c r="C13" s="19" t="s">
        <v>8</v>
      </c>
      <c r="D13" s="25">
        <v>11987650909</v>
      </c>
    </row>
    <row r="14" spans="1:4" ht="20.100000000000001" customHeight="1" x14ac:dyDescent="0.25">
      <c r="C14" s="19" t="s">
        <v>9</v>
      </c>
      <c r="D14" s="26" t="s">
        <v>16</v>
      </c>
    </row>
    <row r="15" spans="1:4" ht="20.100000000000001" customHeight="1" x14ac:dyDescent="0.25">
      <c r="C15" s="19" t="s">
        <v>12</v>
      </c>
      <c r="D15" s="22" t="s">
        <v>20</v>
      </c>
    </row>
    <row r="16" spans="1:4" ht="20.100000000000001" customHeight="1" x14ac:dyDescent="0.25">
      <c r="C16" s="19" t="s">
        <v>14</v>
      </c>
      <c r="D16" s="22" t="s">
        <v>20</v>
      </c>
    </row>
    <row r="17" spans="3:4" ht="20.100000000000001" customHeight="1" thickBot="1" x14ac:dyDescent="0.3">
      <c r="C17" s="27" t="s">
        <v>13</v>
      </c>
      <c r="D17" s="28" t="s">
        <v>20</v>
      </c>
    </row>
    <row r="18" spans="3:4" ht="20.100000000000001" customHeight="1" thickTop="1" x14ac:dyDescent="0.3"/>
  </sheetData>
  <sheetProtection sheet="1" objects="1" scenarios="1" selectLockedCells="1"/>
  <mergeCells count="1">
    <mergeCell ref="C3:D3"/>
  </mergeCells>
  <dataValidations count="1">
    <dataValidation type="list" allowBlank="1" showInputMessage="1" showErrorMessage="1" sqref="D15:D17" xr:uid="{3EB1E488-9F29-4FA0-ADA8-03C3A1CBAD0F}">
      <formula1>"Sim,Não"</formula1>
    </dataValidation>
  </dataValidations>
  <hyperlinks>
    <hyperlink ref="D14" r:id="rId1" xr:uid="{C3AE6DF0-BBB2-4FF1-B521-1052327F2E27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20AA9-DEA5-40A6-9220-A309791F8AEA}">
  <sheetPr>
    <tabColor rgb="FF5A270A"/>
  </sheetPr>
  <dimension ref="A2:G26"/>
  <sheetViews>
    <sheetView showGridLines="0" showRowColHeaders="0" workbookViewId="0">
      <selection activeCell="C8" sqref="C8"/>
    </sheetView>
  </sheetViews>
  <sheetFormatPr defaultColWidth="30.7109375" defaultRowHeight="20.100000000000001" customHeight="1" x14ac:dyDescent="0.25"/>
  <cols>
    <col min="1" max="1" width="27.28515625" style="5" customWidth="1"/>
    <col min="2" max="2" width="5.7109375" customWidth="1"/>
    <col min="5" max="5" width="5.7109375" customWidth="1"/>
  </cols>
  <sheetData>
    <row r="2" spans="1:7" ht="20.100000000000001" customHeight="1" x14ac:dyDescent="0.5">
      <c r="C2" s="7" t="s">
        <v>22</v>
      </c>
      <c r="D2" s="2"/>
    </row>
    <row r="3" spans="1:7" ht="20.100000000000001" customHeight="1" x14ac:dyDescent="0.25">
      <c r="A3" s="6"/>
      <c r="C3" s="9" t="s">
        <v>23</v>
      </c>
      <c r="D3" s="9"/>
    </row>
    <row r="4" spans="1:7" ht="20.100000000000001" customHeight="1" thickBot="1" x14ac:dyDescent="0.3"/>
    <row r="5" spans="1:7" ht="20.100000000000001" customHeight="1" thickTop="1" thickBot="1" x14ac:dyDescent="0.3">
      <c r="C5" s="10" t="s">
        <v>83</v>
      </c>
      <c r="D5" s="11">
        <f>SUM(D9,D14,D19)</f>
        <v>468141.99</v>
      </c>
      <c r="F5" s="44" t="s">
        <v>24</v>
      </c>
      <c r="G5" s="44" t="s">
        <v>92</v>
      </c>
    </row>
    <row r="6" spans="1:7" ht="20.100000000000001" customHeight="1" thickTop="1" x14ac:dyDescent="0.25">
      <c r="F6" s="44" t="str">
        <f>$D$8</f>
        <v>44 - Banco BVA</v>
      </c>
      <c r="G6" s="45">
        <f>$D$9</f>
        <v>284710.63</v>
      </c>
    </row>
    <row r="7" spans="1:7" ht="20.100000000000001" customHeight="1" thickBot="1" x14ac:dyDescent="0.3">
      <c r="C7" s="9" t="s">
        <v>81</v>
      </c>
      <c r="D7" s="9"/>
      <c r="F7" s="45" t="str">
        <f>$D$13</f>
        <v>62 - Hipercard Banco Múltiplo</v>
      </c>
      <c r="G7" s="45">
        <f>$D$14</f>
        <v>58641.73</v>
      </c>
    </row>
    <row r="8" spans="1:7" ht="20.100000000000001" customHeight="1" thickTop="1" x14ac:dyDescent="0.25">
      <c r="C8" s="29" t="s">
        <v>25</v>
      </c>
      <c r="D8" s="30" t="s">
        <v>56</v>
      </c>
      <c r="F8" s="44" t="str">
        <f>$D$18</f>
        <v>65 - Banco Lemon</v>
      </c>
      <c r="G8" s="45">
        <f>$D$19</f>
        <v>124789.63</v>
      </c>
    </row>
    <row r="9" spans="1:7" ht="20.100000000000001" customHeight="1" x14ac:dyDescent="0.25">
      <c r="C9" s="19" t="s">
        <v>26</v>
      </c>
      <c r="D9" s="31">
        <v>284710.63</v>
      </c>
      <c r="F9" s="44" t="str">
        <f>$D$23</f>
        <v>79 - Banco JBS</v>
      </c>
      <c r="G9" s="45">
        <f>$D$24</f>
        <v>54296.81</v>
      </c>
    </row>
    <row r="10" spans="1:7" ht="20.100000000000001" customHeight="1" thickBot="1" x14ac:dyDescent="0.3">
      <c r="C10" s="27" t="s">
        <v>27</v>
      </c>
      <c r="D10" s="32" t="s">
        <v>28</v>
      </c>
    </row>
    <row r="11" spans="1:7" ht="20.100000000000001" customHeight="1" thickTop="1" x14ac:dyDescent="0.25"/>
    <row r="12" spans="1:7" ht="20.100000000000001" customHeight="1" thickBot="1" x14ac:dyDescent="0.35">
      <c r="C12" s="8" t="s">
        <v>80</v>
      </c>
      <c r="D12" s="8"/>
      <c r="F12" s="43"/>
      <c r="G12" s="43"/>
    </row>
    <row r="13" spans="1:7" ht="20.100000000000001" customHeight="1" thickTop="1" x14ac:dyDescent="0.3">
      <c r="C13" s="29" t="s">
        <v>25</v>
      </c>
      <c r="D13" s="30" t="s">
        <v>62</v>
      </c>
      <c r="F13" s="43"/>
      <c r="G13" s="43"/>
    </row>
    <row r="14" spans="1:7" ht="20.100000000000001" customHeight="1" x14ac:dyDescent="0.3">
      <c r="C14" s="19" t="s">
        <v>26</v>
      </c>
      <c r="D14" s="31">
        <v>58641.73</v>
      </c>
      <c r="F14" s="43"/>
      <c r="G14" s="43"/>
    </row>
    <row r="15" spans="1:7" ht="20.100000000000001" customHeight="1" thickBot="1" x14ac:dyDescent="0.35">
      <c r="C15" s="27" t="s">
        <v>27</v>
      </c>
      <c r="D15" s="32" t="s">
        <v>28</v>
      </c>
      <c r="F15" s="43"/>
      <c r="G15" s="43"/>
    </row>
    <row r="16" spans="1:7" ht="20.100000000000001" customHeight="1" thickTop="1" x14ac:dyDescent="0.3">
      <c r="F16" s="43"/>
      <c r="G16" s="43"/>
    </row>
    <row r="17" spans="3:4" ht="20.100000000000001" customHeight="1" thickBot="1" x14ac:dyDescent="0.3">
      <c r="C17" s="8" t="s">
        <v>82</v>
      </c>
      <c r="D17" s="8"/>
    </row>
    <row r="18" spans="3:4" ht="20.100000000000001" customHeight="1" thickTop="1" x14ac:dyDescent="0.25">
      <c r="C18" s="29" t="s">
        <v>25</v>
      </c>
      <c r="D18" s="30" t="s">
        <v>64</v>
      </c>
    </row>
    <row r="19" spans="3:4" ht="20.100000000000001" customHeight="1" x14ac:dyDescent="0.25">
      <c r="C19" s="19" t="s">
        <v>26</v>
      </c>
      <c r="D19" s="31">
        <v>124789.63</v>
      </c>
    </row>
    <row r="20" spans="3:4" ht="20.100000000000001" customHeight="1" thickBot="1" x14ac:dyDescent="0.3">
      <c r="C20" s="27" t="s">
        <v>27</v>
      </c>
      <c r="D20" s="32" t="s">
        <v>28</v>
      </c>
    </row>
    <row r="21" spans="3:4" ht="20.100000000000001" customHeight="1" thickTop="1" x14ac:dyDescent="0.25"/>
    <row r="22" spans="3:4" ht="20.100000000000001" customHeight="1" thickBot="1" x14ac:dyDescent="0.3">
      <c r="C22" s="8" t="s">
        <v>93</v>
      </c>
      <c r="D22" s="8"/>
    </row>
    <row r="23" spans="3:4" ht="20.100000000000001" customHeight="1" thickTop="1" x14ac:dyDescent="0.25">
      <c r="C23" s="29" t="s">
        <v>25</v>
      </c>
      <c r="D23" s="30" t="s">
        <v>77</v>
      </c>
    </row>
    <row r="24" spans="3:4" ht="20.100000000000001" customHeight="1" x14ac:dyDescent="0.25">
      <c r="C24" s="19" t="s">
        <v>26</v>
      </c>
      <c r="D24" s="31">
        <v>54296.81</v>
      </c>
    </row>
    <row r="25" spans="3:4" ht="20.100000000000001" customHeight="1" thickBot="1" x14ac:dyDescent="0.3">
      <c r="C25" s="27" t="s">
        <v>27</v>
      </c>
      <c r="D25" s="32" t="s">
        <v>28</v>
      </c>
    </row>
    <row r="26" spans="3:4" ht="20.100000000000001" customHeight="1" thickTop="1" x14ac:dyDescent="0.25"/>
  </sheetData>
  <sheetProtection sheet="1" objects="1" scenarios="1" selectLockedCells="1"/>
  <mergeCells count="5">
    <mergeCell ref="C17:D17"/>
    <mergeCell ref="C22:D22"/>
    <mergeCell ref="C3:D3"/>
    <mergeCell ref="C7:D7"/>
    <mergeCell ref="C12:D1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Banco não encontrado" error="Informe um banco listado" promptTitle="Informe um banco" prompt="Informe um banco vinculado ao seu CPF" xr:uid="{DA9B6C08-2338-49AA-A0D3-1EDBD6B62C13}">
          <x14:formula1>
            <xm:f>TABELAS!$A$2:$A$51</xm:f>
          </x14:formula1>
          <xm:sqref>D8 D13 D18 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66D7-9F9C-4D9A-8B50-BE100943777A}">
  <sheetPr>
    <tabColor rgb="FF5A270A"/>
  </sheetPr>
  <dimension ref="A2:E14"/>
  <sheetViews>
    <sheetView showGridLines="0" showRowColHeaders="0" workbookViewId="0">
      <selection activeCell="C6" sqref="C6"/>
    </sheetView>
  </sheetViews>
  <sheetFormatPr defaultColWidth="30.7109375" defaultRowHeight="20.100000000000001" customHeight="1" x14ac:dyDescent="0.25"/>
  <cols>
    <col min="1" max="1" width="27.28515625" style="5" customWidth="1"/>
    <col min="2" max="2" width="5.7109375" customWidth="1"/>
    <col min="5" max="5" width="30.7109375" style="14"/>
  </cols>
  <sheetData>
    <row r="2" spans="1:5" ht="20.100000000000001" customHeight="1" x14ac:dyDescent="0.5">
      <c r="C2" s="7" t="s">
        <v>84</v>
      </c>
      <c r="D2" s="2"/>
    </row>
    <row r="3" spans="1:5" ht="20.100000000000001" customHeight="1" x14ac:dyDescent="0.25">
      <c r="A3" s="6"/>
      <c r="C3" s="9" t="s">
        <v>85</v>
      </c>
      <c r="D3" s="9"/>
      <c r="E3" s="9"/>
    </row>
    <row r="5" spans="1:5" ht="20.100000000000001" customHeight="1" x14ac:dyDescent="0.25">
      <c r="C5" s="13" t="s">
        <v>89</v>
      </c>
      <c r="D5" s="13"/>
      <c r="E5" s="13"/>
    </row>
    <row r="6" spans="1:5" ht="20.100000000000001" customHeight="1" x14ac:dyDescent="0.25">
      <c r="C6" s="33" t="s">
        <v>86</v>
      </c>
      <c r="D6" s="34" t="s">
        <v>88</v>
      </c>
      <c r="E6" s="35" t="s">
        <v>87</v>
      </c>
    </row>
    <row r="7" spans="1:5" ht="20.100000000000001" customHeight="1" x14ac:dyDescent="0.25">
      <c r="C7" s="36">
        <v>46046</v>
      </c>
      <c r="D7" s="37" t="s">
        <v>90</v>
      </c>
      <c r="E7" s="38">
        <v>3000</v>
      </c>
    </row>
    <row r="8" spans="1:5" ht="20.100000000000001" customHeight="1" x14ac:dyDescent="0.25">
      <c r="C8" s="39"/>
      <c r="D8" s="37"/>
      <c r="E8" s="40"/>
    </row>
    <row r="9" spans="1:5" ht="20.100000000000001" customHeight="1" x14ac:dyDescent="0.25">
      <c r="C9" s="41"/>
      <c r="D9" s="37"/>
      <c r="E9" s="38"/>
    </row>
    <row r="10" spans="1:5" ht="20.100000000000001" customHeight="1" x14ac:dyDescent="0.25">
      <c r="C10" s="41"/>
      <c r="D10" s="37"/>
      <c r="E10" s="38"/>
    </row>
    <row r="11" spans="1:5" ht="20.100000000000001" customHeight="1" x14ac:dyDescent="0.25">
      <c r="C11" s="41"/>
      <c r="D11" s="37"/>
      <c r="E11" s="38"/>
    </row>
    <row r="12" spans="1:5" ht="20.100000000000001" customHeight="1" x14ac:dyDescent="0.25">
      <c r="C12" s="41"/>
      <c r="D12" s="37"/>
      <c r="E12" s="38"/>
    </row>
    <row r="13" spans="1:5" ht="20.100000000000001" customHeight="1" x14ac:dyDescent="0.25">
      <c r="C13" s="41"/>
      <c r="D13" s="37"/>
      <c r="E13" s="38"/>
    </row>
    <row r="14" spans="1:5" ht="20.100000000000001" customHeight="1" x14ac:dyDescent="0.25">
      <c r="C14" s="39"/>
      <c r="D14" s="42"/>
      <c r="E14" s="40"/>
    </row>
  </sheetData>
  <sheetProtection sheet="1" objects="1" scenarios="1" selectLockedCells="1"/>
  <mergeCells count="2">
    <mergeCell ref="C3:E3"/>
    <mergeCell ref="C5:E5"/>
  </mergeCells>
  <dataValidations count="1">
    <dataValidation type="list" allowBlank="1" showInputMessage="1" showErrorMessage="1" sqref="D7:D14" xr:uid="{507BD89B-4FDD-40D2-9EC7-3741C5974920}">
      <formula1>"CNPJ,Freelancer,Holerite"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E55EA-5832-4DC3-8D60-0D717CCCA1EF}">
  <sheetPr>
    <tabColor rgb="FF5A270A"/>
  </sheetPr>
  <dimension ref="A1:B51"/>
  <sheetViews>
    <sheetView showGridLines="0" workbookViewId="0">
      <selection activeCell="A2" sqref="A2"/>
    </sheetView>
  </sheetViews>
  <sheetFormatPr defaultColWidth="30.7109375" defaultRowHeight="20.100000000000001" customHeight="1" x14ac:dyDescent="0.25"/>
  <cols>
    <col min="1" max="1" width="39.85546875" style="16" bestFit="1" customWidth="1"/>
    <col min="2" max="2" width="4" style="12" hidden="1" customWidth="1"/>
    <col min="3" max="16384" width="30.7109375" style="12"/>
  </cols>
  <sheetData>
    <row r="1" spans="1:2" ht="20.100000000000001" customHeight="1" x14ac:dyDescent="0.25">
      <c r="A1" s="15" t="s">
        <v>91</v>
      </c>
      <c r="B1" s="12" t="s">
        <v>79</v>
      </c>
    </row>
    <row r="2" spans="1:2" ht="20.100000000000001" customHeight="1" x14ac:dyDescent="0.25">
      <c r="A2" s="15" t="s">
        <v>29</v>
      </c>
      <c r="B2" s="12">
        <v>1</v>
      </c>
    </row>
    <row r="3" spans="1:2" ht="20.100000000000001" customHeight="1" x14ac:dyDescent="0.25">
      <c r="A3" s="15" t="s">
        <v>46</v>
      </c>
      <c r="B3" s="12">
        <v>3</v>
      </c>
    </row>
    <row r="4" spans="1:2" ht="20.100000000000001" customHeight="1" x14ac:dyDescent="0.25">
      <c r="A4" s="15" t="s">
        <v>53</v>
      </c>
      <c r="B4" s="12">
        <v>4</v>
      </c>
    </row>
    <row r="5" spans="1:2" ht="20.100000000000001" customHeight="1" x14ac:dyDescent="0.25">
      <c r="A5" s="15" t="s">
        <v>40</v>
      </c>
      <c r="B5" s="12">
        <v>24</v>
      </c>
    </row>
    <row r="6" spans="1:2" ht="20.100000000000001" customHeight="1" x14ac:dyDescent="0.25">
      <c r="A6" s="15" t="s">
        <v>44</v>
      </c>
      <c r="B6" s="12">
        <v>29</v>
      </c>
    </row>
    <row r="7" spans="1:2" ht="20.100000000000001" customHeight="1" x14ac:dyDescent="0.25">
      <c r="A7" s="15" t="s">
        <v>47</v>
      </c>
      <c r="B7" s="12">
        <v>33</v>
      </c>
    </row>
    <row r="8" spans="1:2" ht="20.100000000000001" customHeight="1" x14ac:dyDescent="0.25">
      <c r="A8" s="15" t="s">
        <v>50</v>
      </c>
      <c r="B8" s="12">
        <v>37</v>
      </c>
    </row>
    <row r="9" spans="1:2" ht="20.100000000000001" customHeight="1" x14ac:dyDescent="0.25">
      <c r="A9" s="15" t="s">
        <v>54</v>
      </c>
      <c r="B9" s="12">
        <v>41</v>
      </c>
    </row>
    <row r="10" spans="1:2" ht="20.100000000000001" customHeight="1" x14ac:dyDescent="0.25">
      <c r="A10" s="15" t="s">
        <v>56</v>
      </c>
      <c r="B10" s="12">
        <v>44</v>
      </c>
    </row>
    <row r="11" spans="1:2" ht="20.100000000000001" customHeight="1" x14ac:dyDescent="0.25">
      <c r="A11" s="15" t="s">
        <v>62</v>
      </c>
      <c r="B11" s="12">
        <v>62</v>
      </c>
    </row>
    <row r="12" spans="1:2" ht="20.100000000000001" customHeight="1" x14ac:dyDescent="0.25">
      <c r="A12" s="15" t="s">
        <v>64</v>
      </c>
      <c r="B12" s="12">
        <v>65</v>
      </c>
    </row>
    <row r="13" spans="1:2" ht="20.100000000000001" customHeight="1" x14ac:dyDescent="0.25">
      <c r="A13" s="15" t="s">
        <v>67</v>
      </c>
      <c r="B13" s="12">
        <v>66</v>
      </c>
    </row>
    <row r="14" spans="1:2" ht="20.100000000000001" customHeight="1" x14ac:dyDescent="0.25">
      <c r="A14" s="15" t="s">
        <v>69</v>
      </c>
      <c r="B14" s="12">
        <v>72</v>
      </c>
    </row>
    <row r="15" spans="1:2" ht="20.100000000000001" customHeight="1" x14ac:dyDescent="0.25">
      <c r="A15" s="15" t="s">
        <v>72</v>
      </c>
      <c r="B15" s="12">
        <v>74</v>
      </c>
    </row>
    <row r="16" spans="1:2" ht="20.100000000000001" customHeight="1" x14ac:dyDescent="0.25">
      <c r="A16" s="15" t="s">
        <v>76</v>
      </c>
      <c r="B16" s="12">
        <v>77</v>
      </c>
    </row>
    <row r="17" spans="1:2" ht="20.100000000000001" customHeight="1" x14ac:dyDescent="0.25">
      <c r="A17" s="15" t="s">
        <v>77</v>
      </c>
      <c r="B17" s="12">
        <v>79</v>
      </c>
    </row>
    <row r="18" spans="1:2" ht="20.100000000000001" customHeight="1" x14ac:dyDescent="0.25">
      <c r="A18" s="15" t="s">
        <v>78</v>
      </c>
      <c r="B18" s="12">
        <v>82</v>
      </c>
    </row>
    <row r="19" spans="1:2" ht="20.100000000000001" customHeight="1" x14ac:dyDescent="0.25">
      <c r="A19" s="15" t="s">
        <v>30</v>
      </c>
      <c r="B19" s="12">
        <v>102</v>
      </c>
    </row>
    <row r="20" spans="1:2" ht="20.100000000000001" customHeight="1" x14ac:dyDescent="0.25">
      <c r="A20" s="15" t="s">
        <v>31</v>
      </c>
      <c r="B20" s="12">
        <v>104</v>
      </c>
    </row>
    <row r="21" spans="1:2" ht="20.100000000000001" customHeight="1" x14ac:dyDescent="0.25">
      <c r="A21" s="15" t="s">
        <v>32</v>
      </c>
      <c r="B21" s="12">
        <v>119</v>
      </c>
    </row>
    <row r="22" spans="1:2" ht="20.100000000000001" customHeight="1" x14ac:dyDescent="0.25">
      <c r="A22" s="15" t="s">
        <v>33</v>
      </c>
      <c r="B22" s="12">
        <v>184</v>
      </c>
    </row>
    <row r="23" spans="1:2" ht="20.100000000000001" customHeight="1" x14ac:dyDescent="0.25">
      <c r="A23" s="15" t="s">
        <v>34</v>
      </c>
      <c r="B23" s="12">
        <v>197</v>
      </c>
    </row>
    <row r="24" spans="1:2" ht="20.100000000000001" customHeight="1" x14ac:dyDescent="0.25">
      <c r="A24" s="15" t="s">
        <v>35</v>
      </c>
      <c r="B24" s="12">
        <v>208</v>
      </c>
    </row>
    <row r="25" spans="1:2" ht="20.100000000000001" customHeight="1" x14ac:dyDescent="0.25">
      <c r="A25" s="15" t="s">
        <v>36</v>
      </c>
      <c r="B25" s="12">
        <v>212</v>
      </c>
    </row>
    <row r="26" spans="1:2" ht="20.100000000000001" customHeight="1" x14ac:dyDescent="0.25">
      <c r="A26" s="15" t="s">
        <v>37</v>
      </c>
      <c r="B26" s="12">
        <v>218</v>
      </c>
    </row>
    <row r="27" spans="1:2" ht="20.100000000000001" customHeight="1" x14ac:dyDescent="0.25">
      <c r="A27" s="15" t="s">
        <v>38</v>
      </c>
      <c r="B27" s="12">
        <v>229</v>
      </c>
    </row>
    <row r="28" spans="1:2" ht="20.100000000000001" customHeight="1" x14ac:dyDescent="0.25">
      <c r="A28" s="15" t="s">
        <v>39</v>
      </c>
      <c r="B28" s="12">
        <v>237</v>
      </c>
    </row>
    <row r="29" spans="1:2" ht="20.100000000000001" customHeight="1" x14ac:dyDescent="0.25">
      <c r="A29" s="15" t="s">
        <v>41</v>
      </c>
      <c r="B29" s="12">
        <v>241</v>
      </c>
    </row>
    <row r="30" spans="1:2" ht="20.100000000000001" customHeight="1" x14ac:dyDescent="0.25">
      <c r="A30" s="15" t="s">
        <v>42</v>
      </c>
      <c r="B30" s="12">
        <v>250</v>
      </c>
    </row>
    <row r="31" spans="1:2" ht="20.100000000000001" customHeight="1" x14ac:dyDescent="0.25">
      <c r="A31" s="15" t="s">
        <v>43</v>
      </c>
      <c r="B31" s="12">
        <v>260</v>
      </c>
    </row>
    <row r="32" spans="1:2" ht="20.100000000000001" customHeight="1" x14ac:dyDescent="0.25">
      <c r="A32" s="15" t="s">
        <v>45</v>
      </c>
      <c r="B32" s="12">
        <v>290</v>
      </c>
    </row>
    <row r="33" spans="1:2" ht="20.100000000000001" customHeight="1" x14ac:dyDescent="0.25">
      <c r="A33" s="15" t="s">
        <v>48</v>
      </c>
      <c r="B33" s="12">
        <v>336</v>
      </c>
    </row>
    <row r="34" spans="1:2" ht="20.100000000000001" customHeight="1" x14ac:dyDescent="0.25">
      <c r="A34" s="15" t="s">
        <v>49</v>
      </c>
      <c r="B34" s="12">
        <v>341</v>
      </c>
    </row>
    <row r="35" spans="1:2" ht="20.100000000000001" customHeight="1" x14ac:dyDescent="0.25">
      <c r="A35" s="15" t="s">
        <v>51</v>
      </c>
      <c r="B35" s="12">
        <v>376</v>
      </c>
    </row>
    <row r="36" spans="1:2" ht="20.100000000000001" customHeight="1" x14ac:dyDescent="0.25">
      <c r="A36" s="15" t="s">
        <v>52</v>
      </c>
      <c r="B36" s="12">
        <v>380</v>
      </c>
    </row>
    <row r="37" spans="1:2" ht="20.100000000000001" customHeight="1" x14ac:dyDescent="0.25">
      <c r="A37" s="15" t="s">
        <v>55</v>
      </c>
      <c r="B37" s="12">
        <v>422</v>
      </c>
    </row>
    <row r="38" spans="1:2" ht="20.100000000000001" customHeight="1" x14ac:dyDescent="0.25">
      <c r="A38" s="15" t="s">
        <v>57</v>
      </c>
      <c r="B38" s="12">
        <v>464</v>
      </c>
    </row>
    <row r="39" spans="1:2" ht="20.100000000000001" customHeight="1" x14ac:dyDescent="0.25">
      <c r="A39" s="15" t="s">
        <v>58</v>
      </c>
      <c r="B39" s="12">
        <v>477</v>
      </c>
    </row>
    <row r="40" spans="1:2" ht="20.100000000000001" customHeight="1" x14ac:dyDescent="0.25">
      <c r="A40" s="15" t="s">
        <v>59</v>
      </c>
      <c r="B40" s="12">
        <v>600</v>
      </c>
    </row>
    <row r="41" spans="1:2" ht="20.100000000000001" customHeight="1" x14ac:dyDescent="0.25">
      <c r="A41" s="15" t="s">
        <v>60</v>
      </c>
      <c r="B41" s="12">
        <v>604</v>
      </c>
    </row>
    <row r="42" spans="1:2" ht="20.100000000000001" customHeight="1" x14ac:dyDescent="0.25">
      <c r="A42" s="15" t="s">
        <v>61</v>
      </c>
      <c r="B42" s="12">
        <v>610</v>
      </c>
    </row>
    <row r="43" spans="1:2" ht="20.100000000000001" customHeight="1" x14ac:dyDescent="0.25">
      <c r="A43" s="15" t="s">
        <v>63</v>
      </c>
      <c r="B43" s="12">
        <v>634</v>
      </c>
    </row>
    <row r="44" spans="1:2" ht="20.100000000000001" customHeight="1" x14ac:dyDescent="0.25">
      <c r="A44" s="15" t="s">
        <v>65</v>
      </c>
      <c r="B44" s="12">
        <v>654</v>
      </c>
    </row>
    <row r="45" spans="1:2" ht="20.100000000000001" customHeight="1" x14ac:dyDescent="0.25">
      <c r="A45" s="15" t="s">
        <v>66</v>
      </c>
      <c r="B45" s="12">
        <v>655</v>
      </c>
    </row>
    <row r="46" spans="1:2" ht="20.100000000000001" customHeight="1" x14ac:dyDescent="0.25">
      <c r="A46" s="15" t="s">
        <v>68</v>
      </c>
      <c r="B46" s="12">
        <v>707</v>
      </c>
    </row>
    <row r="47" spans="1:2" ht="20.100000000000001" customHeight="1" x14ac:dyDescent="0.25">
      <c r="A47" s="15" t="s">
        <v>70</v>
      </c>
      <c r="B47" s="12">
        <v>734</v>
      </c>
    </row>
    <row r="48" spans="1:2" ht="20.100000000000001" customHeight="1" x14ac:dyDescent="0.25">
      <c r="A48" s="15" t="s">
        <v>71</v>
      </c>
      <c r="B48" s="12">
        <v>735</v>
      </c>
    </row>
    <row r="49" spans="1:2" ht="20.100000000000001" customHeight="1" x14ac:dyDescent="0.25">
      <c r="A49" s="15" t="s">
        <v>73</v>
      </c>
      <c r="B49" s="12">
        <v>746</v>
      </c>
    </row>
    <row r="50" spans="1:2" ht="20.100000000000001" customHeight="1" x14ac:dyDescent="0.25">
      <c r="A50" s="15" t="s">
        <v>74</v>
      </c>
      <c r="B50" s="12">
        <v>748</v>
      </c>
    </row>
    <row r="51" spans="1:2" ht="20.100000000000001" customHeight="1" x14ac:dyDescent="0.25">
      <c r="A51" s="15" t="s">
        <v>75</v>
      </c>
      <c r="B51" s="12">
        <v>749</v>
      </c>
    </row>
  </sheetData>
  <sortState xmlns:xlrd2="http://schemas.microsoft.com/office/spreadsheetml/2017/richdata2" ref="A2:B51">
    <sortCondition ref="B2:B51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Aparecida de Souza</dc:creator>
  <cp:lastModifiedBy>Gabriela Aparecida de Souza</cp:lastModifiedBy>
  <dcterms:created xsi:type="dcterms:W3CDTF">2026-01-18T11:00:11Z</dcterms:created>
  <dcterms:modified xsi:type="dcterms:W3CDTF">2026-01-24T16:15:16Z</dcterms:modified>
</cp:coreProperties>
</file>