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sou\OneDrive\Área de Trabalho\"/>
    </mc:Choice>
  </mc:AlternateContent>
  <xr:revisionPtr revIDLastSave="0" documentId="13_ncr:1_{04D5E13B-E4DA-46B8-9440-4934101FE31F}" xr6:coauthVersionLast="47" xr6:coauthVersionMax="47" xr10:uidLastSave="{00000000-0000-0000-0000-000000000000}"/>
  <bookViews>
    <workbookView xWindow="-120" yWindow="-120" windowWidth="20730" windowHeight="11760" tabRatio="0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35" i="3"/>
</calcChain>
</file>

<file path=xl/sharedStrings.xml><?xml version="1.0" encoding="utf-8"?>
<sst xmlns="http://schemas.openxmlformats.org/spreadsheetml/2006/main" count="2018" uniqueCount="321">
  <si>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</si>
  <si>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</si>
  <si>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</si>
  <si>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</si>
  <si>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</si>
  <si>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</si>
  <si>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</si>
  <si>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</si>
  <si>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</si>
  <si>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</si>
  <si>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</si>
  <si>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</si>
  <si>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</si>
  <si>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</si>
  <si>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</si>
  <si>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</si>
  <si>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</si>
  <si>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</si>
  <si>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</si>
  <si>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</si>
  <si>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</si>
  <si>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</si>
  <si>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</si>
  <si>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</si>
  <si>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</si>
  <si>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</si>
  <si>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</si>
  <si>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</si>
  <si>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</si>
  <si>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</si>
  <si>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</si>
  <si>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</si>
  <si>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</si>
  <si>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</si>
  <si>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</si>
  <si>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</si>
  <si>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</si>
  <si>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</si>
  <si>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</si>
  <si>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</si>
  <si>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</si>
  <si>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</si>
  <si>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</si>
  <si>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</si>
  <si>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</si>
  <si>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</si>
  <si>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</si>
  <si>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</si>
  <si>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</si>
  <si>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</si>
  <si>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</si>
  <si>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</si>
  <si>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</si>
  <si>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</si>
  <si>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</si>
  <si>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</si>
  <si>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</si>
  <si>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</si>
  <si>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</si>
  <si>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</si>
  <si>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</si>
  <si>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</si>
  <si>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</si>
  <si>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</si>
  <si>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</si>
  <si>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</si>
  <si>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</si>
  <si>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</si>
  <si>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</si>
  <si>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</si>
  <si>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</si>
  <si>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</si>
  <si>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</si>
  <si>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</si>
  <si>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</si>
  <si>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</si>
  <si>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</si>
  <si>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</si>
  <si>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</si>
  <si>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</si>
  <si>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</si>
  <si>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</si>
  <si>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</si>
  <si>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</si>
  <si>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</si>
  <si>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</si>
  <si>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</si>
  <si>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</si>
  <si>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</si>
  <si>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</si>
  <si>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</si>
  <si>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</si>
  <si>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</si>
  <si>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</si>
  <si>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</si>
  <si>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</si>
  <si>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</si>
  <si>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</si>
  <si>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</si>
  <si>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</si>
  <si>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</si>
  <si>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</si>
  <si>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</si>
  <si>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</si>
  <si>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</si>
  <si>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</si>
  <si>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</si>
  <si>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</si>
  <si>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</si>
  <si>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</si>
  <si>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</si>
  <si>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</si>
  <si>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</si>
  <si>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</si>
  <si>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</si>
  <si>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</si>
  <si>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</si>
  <si>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</si>
  <si>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</si>
  <si>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</si>
  <si>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</si>
  <si>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</si>
  <si>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</si>
  <si>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</si>
  <si>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</si>
  <si>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</si>
  <si>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</si>
  <si>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</si>
  <si>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</si>
  <si>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</si>
  <si>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</si>
  <si>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</si>
  <si>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</si>
  <si>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</si>
  <si>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</si>
  <si>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</si>
  <si>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</si>
  <si>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</si>
  <si>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</si>
  <si>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</si>
  <si>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</si>
  <si>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</si>
  <si>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</si>
  <si>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</si>
  <si>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</si>
  <si>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</si>
  <si>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</si>
  <si>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</si>
  <si>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</si>
  <si>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</si>
  <si>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</si>
  <si>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</si>
  <si>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</si>
  <si>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</si>
  <si>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</si>
  <si>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</si>
  <si>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</si>
  <si>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</si>
  <si>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</si>
  <si>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</si>
  <si>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</si>
  <si>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</si>
  <si>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</si>
  <si>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</si>
  <si>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</si>
  <si>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</si>
  <si>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</si>
  <si>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</si>
  <si>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</si>
  <si>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</si>
  <si>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</si>
  <si>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</si>
  <si>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</si>
  <si>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</si>
  <si>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</si>
  <si>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</si>
  <si>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</si>
  <si>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</si>
  <si>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</si>
  <si>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</si>
  <si>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</si>
  <si>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</si>
  <si>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</si>
  <si>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</si>
  <si>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</si>
  <si>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</si>
  <si>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</si>
  <si>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</si>
  <si>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</si>
  <si>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</si>
  <si>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</si>
  <si>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</si>
  <si>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</si>
  <si>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</si>
  <si>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</si>
  <si>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</si>
  <si>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</si>
  <si>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</si>
  <si>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</si>
  <si>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</si>
  <si>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</si>
  <si>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</si>
  <si>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</si>
  <si>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</si>
  <si>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</si>
  <si>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</si>
  <si>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</si>
  <si>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</si>
  <si>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</si>
  <si>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</si>
  <si>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</si>
  <si>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</si>
  <si>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</si>
  <si>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</si>
  <si>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</si>
  <si>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</si>
  <si>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</si>
  <si>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</si>
  <si>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</si>
  <si>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</si>
  <si>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</si>
  <si>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</si>
  <si>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</si>
  <si>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</si>
  <si>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</si>
  <si>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</si>
  <si>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</si>
  <si>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</si>
  <si>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</si>
  <si>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</si>
  <si>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</si>
  <si>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</si>
  <si>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</si>
  <si>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</si>
  <si>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</si>
  <si>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</si>
  <si>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</si>
  <si>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</si>
  <si>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</si>
  <si>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</si>
  <si>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</si>
  <si>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</si>
  <si>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</si>
  <si>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</si>
  <si>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</si>
  <si>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</si>
  <si>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</si>
  <si>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</si>
  <si>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</si>
  <si>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</si>
  <si>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</si>
  <si>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</si>
  <si>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</si>
  <si>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</si>
  <si>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</si>
  <si>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</si>
  <si>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</si>
  <si>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</si>
  <si>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</si>
  <si>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</si>
  <si>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</si>
  <si>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</si>
  <si>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</si>
  <si>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</si>
  <si>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</si>
  <si>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</si>
  <si>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</si>
  <si>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</si>
  <si>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</si>
  <si>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</si>
  <si>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</si>
  <si>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</si>
  <si>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</si>
  <si>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</si>
  <si>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</si>
  <si>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</si>
  <si>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</si>
  <si>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</si>
  <si>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</si>
  <si>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</si>
  <si>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</si>
  <si>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</si>
  <si>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</si>
  <si>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</si>
  <si>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</si>
  <si>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</si>
  <si>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</si>
  <si>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</si>
  <si>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</si>
  <si>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</si>
  <si>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</si>
  <si>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</si>
  <si>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</si>
  <si>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</si>
  <si>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</si>
  <si>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</si>
  <si>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</si>
  <si>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</si>
  <si>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</si>
  <si>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</si>
  <si>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</si>
  <si>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</si>
  <si>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</si>
  <si>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</si>
  <si>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</si>
  <si>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</si>
  <si>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</si>
  <si>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</si>
  <si>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</si>
  <si>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</si>
  <si>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</si>
  <si>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</si>
  <si>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</si>
  <si>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</si>
  <si>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</si>
  <si>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</si>
  <si>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SALES</t>
  </si>
  <si>
    <t>(Tudo)</t>
  </si>
  <si>
    <t>Soma de EA Play Season Pass</t>
  </si>
  <si>
    <t>Soma de Minecraft Season Pass Price</t>
  </si>
  <si>
    <t>Calculation period: 01/01/2024-31/12/2024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</si>
</sst>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22C55E"/>
      <name val="Segoe UI Light"/>
      <family val="2"/>
    </font>
    <font>
      <sz val="16"/>
      <color rgb="FF22C55E"/>
      <name val="Segoe UI"/>
      <family val="2"/>
    </font>
    <font>
      <sz val="10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Fill="1" applyBorder="1"/>
    <xf numFmtId="0" fontId="5" fillId="0" borderId="2" xfId="1" applyFont="1" applyFill="1" applyBorder="1"/>
    <xf numFmtId="0" fontId="0" fillId="0" borderId="0" xfId="0" applyNumberFormat="1"/>
    <xf numFmtId="0" fontId="4" fillId="0" borderId="0" xfId="1" applyFont="1" applyFill="1" applyBorder="1"/>
    <xf numFmtId="0" fontId="6" fillId="0" borderId="0" xfId="1" applyFont="1" applyFill="1" applyBorder="1" applyAlignment="1">
      <alignment vertical="top"/>
    </xf>
    <xf numFmtId="0" fontId="0" fillId="5" borderId="0" xfId="0" applyFill="1" applyProtection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  <name val="Segoe UI"/>
        <family val="2"/>
        <scheme val="none"/>
      </font>
      <fill>
        <patternFill>
          <f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2"/>
        <color theme="0"/>
        <name val="Segoe UI"/>
        <family val="2"/>
      </font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C37B0AD-263D-4770-A37A-CCD3367B6B1D}">
      <tableStyleElement type="wholeTable" dxfId="1"/>
      <tableStyleElement type="headerRow" dxfId="0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5BF6A8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5BF6A8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[Projeto_Final.xlsx]C̳álculos!TBL_ANNUAL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72286500960584"/>
          <c:y val="0.25521213001148957"/>
          <c:w val="0.86719222490077086"/>
          <c:h val="0.67460453423535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679-B942-90FE02F0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773663"/>
        <c:axId val="1085770783"/>
      </c:barChart>
      <c:catAx>
        <c:axId val="108577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  <c:crossAx val="1085770783"/>
        <c:crosses val="autoZero"/>
        <c:auto val="1"/>
        <c:lblAlgn val="ctr"/>
        <c:lblOffset val="100"/>
        <c:noMultiLvlLbl val="0"/>
      </c:catAx>
      <c:valAx>
        <c:axId val="10857707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577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Segoe UI Light" panose="020B0502040204020203" pitchFamily="34" charset="0"/>
          <a:cs typeface="Segoe UI Light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116682</xdr:colOff>
      <xdr:row>0</xdr:row>
      <xdr:rowOff>203702</xdr:rowOff>
    </xdr:from>
    <xdr:to>
      <xdr:col>1</xdr:col>
      <xdr:colOff>640554</xdr:colOff>
      <xdr:row>2</xdr:row>
      <xdr:rowOff>147639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0AAFF9-1CD5-44F7-B5CC-E241F5249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2" t="16304" r="73142" b="20109"/>
        <a:stretch>
          <a:fillRect/>
        </a:stretch>
      </xdr:blipFill>
      <xdr:spPr>
        <a:xfrm>
          <a:off x="2616995" y="203702"/>
          <a:ext cx="523872" cy="563062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23813</xdr:rowOff>
    </xdr:from>
    <xdr:to>
      <xdr:col>0</xdr:col>
      <xdr:colOff>2488406</xdr:colOff>
      <xdr:row>11</xdr:row>
      <xdr:rowOff>240506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E7E6045-E874-4054-A984-A3D0FD2884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62063"/>
              <a:ext cx="2488406" cy="2383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145094</xdr:colOff>
      <xdr:row>4</xdr:row>
      <xdr:rowOff>130969</xdr:rowOff>
    </xdr:from>
    <xdr:to>
      <xdr:col>15</xdr:col>
      <xdr:colOff>1</xdr:colOff>
      <xdr:row>8</xdr:row>
      <xdr:rowOff>210843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E31E2486-B1C5-B1AF-94C7-856479F2718D}"/>
            </a:ext>
          </a:extLst>
        </xdr:cNvPr>
        <xdr:cNvGrpSpPr/>
      </xdr:nvGrpSpPr>
      <xdr:grpSpPr>
        <a:xfrm>
          <a:off x="8098469" y="1369219"/>
          <a:ext cx="2724313" cy="1318124"/>
          <a:chOff x="7657937" y="881063"/>
          <a:chExt cx="2880000" cy="1079999"/>
        </a:xfrm>
      </xdr:grpSpPr>
      <xdr:sp macro="" textlink="C̳álculos!$D$26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4C7E2A3F-BF3E-7A57-14B3-D4A71AC9979C}"/>
              </a:ext>
            </a:extLst>
          </xdr:cNvPr>
          <xdr:cNvSpPr/>
        </xdr:nvSpPr>
        <xdr:spPr>
          <a:xfrm>
            <a:off x="7657937" y="1239182"/>
            <a:ext cx="2880000" cy="721880"/>
          </a:xfrm>
          <a:prstGeom prst="roundRect">
            <a:avLst>
              <a:gd name="adj" fmla="val 37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ACE4AFDC-5D11-440D-A98A-953B0ABB404D}" type="TxLink">
              <a:rPr lang="en-US" sz="2000" b="0" i="0" u="none" strike="noStrike">
                <a:solidFill>
                  <a:srgbClr val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 R$ 2.940,00 </a:t>
            </a:fld>
            <a:endParaRPr lang="pt-BR" sz="40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9FCDBA1F-9589-47D7-BEA5-DA620A5B50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977" t="31250" r="1" b="32617"/>
          <a:stretch>
            <a:fillRect/>
          </a:stretch>
        </xdr:blipFill>
        <xdr:spPr>
          <a:xfrm>
            <a:off x="7730688" y="1394337"/>
            <a:ext cx="1437125" cy="441681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3E7F847C-FBE3-4B27-DB54-FC63DBBD019B}"/>
              </a:ext>
            </a:extLst>
          </xdr:cNvPr>
          <xdr:cNvSpPr/>
        </xdr:nvSpPr>
        <xdr:spPr>
          <a:xfrm>
            <a:off x="7657937" y="881063"/>
            <a:ext cx="2880000" cy="36094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000" b="0" baseline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subscriptions EA PLAY SEASON PASS</a:t>
            </a:r>
            <a:endParaRPr lang="pt-BR" sz="1000" b="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145094</xdr:colOff>
      <xdr:row>9</xdr:row>
      <xdr:rowOff>176316</xdr:rowOff>
    </xdr:from>
    <xdr:to>
      <xdr:col>15</xdr:col>
      <xdr:colOff>1</xdr:colOff>
      <xdr:row>14</xdr:row>
      <xdr:rowOff>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3EA348E-1CB0-1206-AFDB-7F9A83DDBE98}"/>
            </a:ext>
          </a:extLst>
        </xdr:cNvPr>
        <xdr:cNvGrpSpPr/>
      </xdr:nvGrpSpPr>
      <xdr:grpSpPr>
        <a:xfrm>
          <a:off x="8098469" y="2962379"/>
          <a:ext cx="2724313" cy="1371496"/>
          <a:chOff x="7657937" y="2176566"/>
          <a:chExt cx="2880000" cy="1073840"/>
        </a:xfrm>
      </xdr:grpSpPr>
      <xdr:sp macro="" textlink="C̳álculos!D3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A9417F8B-1AA2-475B-AB78-8DC70C0780BD}"/>
              </a:ext>
            </a:extLst>
          </xdr:cNvPr>
          <xdr:cNvSpPr/>
        </xdr:nvSpPr>
        <xdr:spPr>
          <a:xfrm>
            <a:off x="7657937" y="2526806"/>
            <a:ext cx="2880000" cy="723600"/>
          </a:xfrm>
          <a:prstGeom prst="roundRect">
            <a:avLst>
              <a:gd name="adj" fmla="val 37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C2D44E9F-51E9-4C4C-94A5-61FC97010898}" type="TxLink">
              <a:rPr lang="en-US" sz="2000" b="0" i="0" u="none" strike="noStrike">
                <a:solidFill>
                  <a:srgbClr val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pPr marL="0" indent="0" algn="r"/>
              <a:t> R$ 3.880,00 </a:t>
            </a:fld>
            <a:endParaRPr lang="pt-BR" sz="20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endParaRP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00429E9-E104-41FE-B4C4-FAA43CF5EE27}"/>
              </a:ext>
            </a:extLst>
          </xdr:cNvPr>
          <xdr:cNvGrpSpPr/>
        </xdr:nvGrpSpPr>
        <xdr:grpSpPr>
          <a:xfrm>
            <a:off x="7852873" y="2584725"/>
            <a:ext cx="1107281" cy="500408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3FB5F62F-842F-4E8F-E10D-2159C2C567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3ED4E68A-D567-FC27-46A1-86566F5C99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B1572BB2-5999-4CDA-A6B7-28E0D81F925F}"/>
              </a:ext>
            </a:extLst>
          </xdr:cNvPr>
          <xdr:cNvSpPr/>
        </xdr:nvSpPr>
        <xdr:spPr>
          <a:xfrm>
            <a:off x="7657937" y="2176566"/>
            <a:ext cx="2880000" cy="350241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000" b="0" baseline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subscriptions MINECRAFT SEASON PASS</a:t>
            </a:r>
          </a:p>
        </xdr:txBody>
      </xdr:sp>
    </xdr:grpSp>
    <xdr:clientData/>
  </xdr:twoCellAnchor>
  <xdr:twoCellAnchor>
    <xdr:from>
      <xdr:col>1</xdr:col>
      <xdr:colOff>116682</xdr:colOff>
      <xdr:row>4</xdr:row>
      <xdr:rowOff>116680</xdr:rowOff>
    </xdr:from>
    <xdr:to>
      <xdr:col>10</xdr:col>
      <xdr:colOff>0</xdr:colOff>
      <xdr:row>14</xdr:row>
      <xdr:rowOff>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2B87EE6D-2F1E-63DC-91E7-A6DDC24C61E5}"/>
            </a:ext>
          </a:extLst>
        </xdr:cNvPr>
        <xdr:cNvGrpSpPr/>
      </xdr:nvGrpSpPr>
      <xdr:grpSpPr>
        <a:xfrm>
          <a:off x="2616995" y="1354930"/>
          <a:ext cx="5336380" cy="2978945"/>
          <a:chOff x="2616995" y="866774"/>
          <a:chExt cx="4633911" cy="2383632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F14400B-D62D-268A-06E1-9564F72039D9}"/>
              </a:ext>
            </a:extLst>
          </xdr:cNvPr>
          <xdr:cNvGrpSpPr/>
        </xdr:nvGrpSpPr>
        <xdr:grpSpPr>
          <a:xfrm>
            <a:off x="2616995" y="888001"/>
            <a:ext cx="4633911" cy="2362405"/>
            <a:chOff x="2583656" y="845345"/>
            <a:chExt cx="4095750" cy="121443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7599C26-3BC7-938E-30F6-A1A5ECB42BBC}"/>
                </a:ext>
              </a:extLst>
            </xdr:cNvPr>
            <xdr:cNvSpPr/>
          </xdr:nvSpPr>
          <xdr:spPr>
            <a:xfrm>
              <a:off x="2583656" y="845345"/>
              <a:ext cx="4095750" cy="1214436"/>
            </a:xfrm>
            <a:prstGeom prst="roundRect">
              <a:avLst>
                <a:gd name="adj" fmla="val 219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2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B072897-71D1-4B27-9F3A-92E00A00C4AF}"/>
                </a:ext>
              </a:extLst>
            </xdr:cNvPr>
            <xdr:cNvGraphicFramePr>
              <a:graphicFrameLocks/>
            </xdr:cNvGraphicFramePr>
          </xdr:nvGraphicFramePr>
          <xdr:xfrm>
            <a:off x="2707193" y="1025876"/>
            <a:ext cx="3972213" cy="10232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4881B48D-7552-43F5-AE9A-AAB0FD426B28}"/>
              </a:ext>
            </a:extLst>
          </xdr:cNvPr>
          <xdr:cNvSpPr/>
        </xdr:nvSpPr>
        <xdr:spPr>
          <a:xfrm>
            <a:off x="2616995" y="866774"/>
            <a:ext cx="4633911" cy="633413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0" baseline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>
    <xdr:from>
      <xdr:col>0</xdr:col>
      <xdr:colOff>63845</xdr:colOff>
      <xdr:row>0</xdr:row>
      <xdr:rowOff>71439</xdr:rowOff>
    </xdr:from>
    <xdr:to>
      <xdr:col>0</xdr:col>
      <xdr:colOff>1777379</xdr:colOff>
      <xdr:row>3</xdr:row>
      <xdr:rowOff>209551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D16FE92-1E02-B120-885A-86B30C3B14E7}"/>
            </a:ext>
          </a:extLst>
        </xdr:cNvPr>
        <xdr:cNvGrpSpPr/>
      </xdr:nvGrpSpPr>
      <xdr:grpSpPr>
        <a:xfrm>
          <a:off x="63845" y="71439"/>
          <a:ext cx="1713534" cy="1066800"/>
          <a:chOff x="63845" y="71439"/>
          <a:chExt cx="1713534" cy="1066800"/>
        </a:xfrm>
      </xdr:grpSpPr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62CA7169-6F54-4729-AF20-E581E1202B4D}"/>
              </a:ext>
            </a:extLst>
          </xdr:cNvPr>
          <xdr:cNvSpPr/>
        </xdr:nvSpPr>
        <xdr:spPr>
          <a:xfrm>
            <a:off x="63845" y="71439"/>
            <a:ext cx="695325" cy="695325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98E3B98F-6CDE-4C16-BD38-DFEB6EF07D1C}"/>
              </a:ext>
            </a:extLst>
          </xdr:cNvPr>
          <xdr:cNvSpPr/>
        </xdr:nvSpPr>
        <xdr:spPr>
          <a:xfrm>
            <a:off x="63845" y="766763"/>
            <a:ext cx="1713534" cy="371476"/>
          </a:xfrm>
          <a:prstGeom prst="round2SameRect">
            <a:avLst/>
          </a:prstGeom>
          <a:solidFill>
            <a:srgbClr val="2AE6B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Bem</a:t>
            </a:r>
            <a:r>
              <a:rPr lang="pt-BR" sz="1400" b="0" baseline="0">
                <a:solidFill>
                  <a:sysClr val="windowText" lastClr="000000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-vinda, Liana !</a:t>
            </a:r>
            <a:endParaRPr lang="pt-BR" sz="1400" b="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sou" refreshedDate="46062.403078124997" createdVersion="8" refreshedVersion="8" minRefreshableVersion="3" recordCount="295" xr:uid="{DFC6CF69-ED4E-43FC-85FB-9CE3445AABB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68593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522DA-F13E-4E4D-B049-BE484885C1DF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 sortType="ascending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29F6D-501D-4181-B2EF-8DB9459B4615}" name="TBL_EASEASONPASS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 sortType="ascending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59836-AC95-41D9-A833-340ECC678ABA}" name="TBL_ANNU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6:C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 sortType="ascending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81A5BED-62E9-4169-AB9A-914ABA7D957C}" sourceName="Subscription Type">
  <pivotTables>
    <pivotTable tabId="3" name="TBL_ANNUAL"/>
    <pivotTable tabId="3" name="TBL_EASEASONPASSTOTAL"/>
    <pivotTable tabId="3" name="Tabela dinâmica2"/>
  </pivotTables>
  <data>
    <tabular pivotCacheId="16685930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996E32E-3089-40B9-B2F5-2F02EAFBD7F8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H25" sqref="H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274" zoomScale="90" zoomScaleNormal="90" workbookViewId="0"/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D35"/>
  <sheetViews>
    <sheetView showGridLines="0" topLeftCell="A16" workbookViewId="0">
      <selection activeCell="E29" sqref="E29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5" width="12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 x14ac:dyDescent="0.25">
      <c r="B4" s="12" t="s">
        <v>16</v>
      </c>
      <c r="C4" t="s">
        <v>317</v>
      </c>
    </row>
    <row r="6" spans="2:3" x14ac:dyDescent="0.25">
      <c r="B6" s="12" t="s">
        <v>313</v>
      </c>
      <c r="C6" t="s">
        <v>315</v>
      </c>
    </row>
    <row r="7" spans="2:3" x14ac:dyDescent="0.25">
      <c r="B7" s="13" t="s">
        <v>23</v>
      </c>
      <c r="C7" s="14">
        <v>3847</v>
      </c>
    </row>
    <row r="8" spans="2:3" x14ac:dyDescent="0.25">
      <c r="B8" s="13" t="s">
        <v>19</v>
      </c>
      <c r="C8" s="14">
        <v>3786</v>
      </c>
    </row>
    <row r="9" spans="2:3" x14ac:dyDescent="0.25">
      <c r="B9" s="13" t="s">
        <v>314</v>
      </c>
      <c r="C9" s="14">
        <v>7633</v>
      </c>
    </row>
    <row r="20" spans="2:4" x14ac:dyDescent="0.25">
      <c r="B20" s="12" t="s">
        <v>16</v>
      </c>
      <c r="C20" t="s">
        <v>317</v>
      </c>
    </row>
    <row r="22" spans="2:4" x14ac:dyDescent="0.25">
      <c r="B22" s="12" t="s">
        <v>313</v>
      </c>
      <c r="C22" t="s">
        <v>318</v>
      </c>
    </row>
    <row r="23" spans="2:4" x14ac:dyDescent="0.25">
      <c r="B23" s="13" t="s">
        <v>22</v>
      </c>
      <c r="C23" s="17">
        <v>0</v>
      </c>
    </row>
    <row r="24" spans="2:4" x14ac:dyDescent="0.25">
      <c r="B24" s="13" t="s">
        <v>26</v>
      </c>
      <c r="C24" s="17">
        <v>0</v>
      </c>
    </row>
    <row r="25" spans="2:4" x14ac:dyDescent="0.25">
      <c r="B25" s="13" t="s">
        <v>18</v>
      </c>
      <c r="C25" s="17">
        <v>2940</v>
      </c>
      <c r="D25" s="14"/>
    </row>
    <row r="26" spans="2:4" x14ac:dyDescent="0.25">
      <c r="B26" s="13" t="s">
        <v>314</v>
      </c>
      <c r="C26" s="17">
        <v>2940</v>
      </c>
      <c r="D26" s="14">
        <f>GETPIVOTDATA("EA Play Season Pass
Price",$B$22)</f>
        <v>2940</v>
      </c>
    </row>
    <row r="29" spans="2:4" x14ac:dyDescent="0.25">
      <c r="B29" s="12" t="s">
        <v>16</v>
      </c>
      <c r="C29" t="s">
        <v>317</v>
      </c>
    </row>
    <row r="31" spans="2:4" x14ac:dyDescent="0.25">
      <c r="B31" s="12" t="s">
        <v>313</v>
      </c>
      <c r="C31" t="s">
        <v>319</v>
      </c>
    </row>
    <row r="32" spans="2:4" x14ac:dyDescent="0.25">
      <c r="B32" s="13" t="s">
        <v>22</v>
      </c>
      <c r="C32" s="14">
        <v>0</v>
      </c>
    </row>
    <row r="33" spans="2:4" x14ac:dyDescent="0.25">
      <c r="B33" s="13" t="s">
        <v>26</v>
      </c>
      <c r="C33" s="14">
        <v>1920</v>
      </c>
    </row>
    <row r="34" spans="2:4" x14ac:dyDescent="0.25">
      <c r="B34" s="13" t="s">
        <v>18</v>
      </c>
      <c r="C34" s="14">
        <v>1960</v>
      </c>
      <c r="D34" s="14"/>
    </row>
    <row r="35" spans="2:4" x14ac:dyDescent="0.25">
      <c r="B35" s="13" t="s">
        <v>314</v>
      </c>
      <c r="C35" s="14">
        <v>3880</v>
      </c>
      <c r="D35" s="14">
        <f>GETPIVOTDATA("Minecraft Season Pass Price",$B$31)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4"/>
  <sheetViews>
    <sheetView showGridLines="0" showRowColHeaders="0" tabSelected="1" zoomScale="80" zoomScaleNormal="80" workbookViewId="0">
      <selection activeCell="D13" sqref="D13"/>
    </sheetView>
  </sheetViews>
  <sheetFormatPr defaultRowHeight="24.95" customHeight="1" x14ac:dyDescent="0.25"/>
  <cols>
    <col min="1" max="1" width="37.42578125" style="20" customWidth="1"/>
    <col min="2" max="3" width="10.7109375" style="7" customWidth="1"/>
    <col min="4" max="9" width="9.140625" style="7"/>
    <col min="10" max="10" width="5.7109375" style="7" customWidth="1"/>
    <col min="11" max="11" width="9.140625" style="7"/>
    <col min="12" max="12" width="6.5703125" style="7" customWidth="1"/>
    <col min="13" max="16384" width="9.140625" style="7"/>
  </cols>
  <sheetData>
    <row r="1" spans="1:15" customFormat="1" ht="24.95" customHeight="1" x14ac:dyDescent="0.25">
      <c r="A1" s="20"/>
    </row>
    <row r="2" spans="1:15" customFormat="1" ht="24.95" customHeight="1" thickBot="1" x14ac:dyDescent="0.55000000000000004">
      <c r="A2" s="20"/>
      <c r="C2" s="16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customFormat="1" ht="24.95" customHeight="1" thickTop="1" x14ac:dyDescent="0.5">
      <c r="A3" s="20"/>
      <c r="C3" s="19" t="s">
        <v>320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customFormat="1" ht="24.95" customHeight="1" x14ac:dyDescent="0.25">
      <c r="A4" s="20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Gabriela Aparecida de Souza</cp:lastModifiedBy>
  <dcterms:created xsi:type="dcterms:W3CDTF">2024-12-19T13:13:10Z</dcterms:created>
  <dcterms:modified xsi:type="dcterms:W3CDTF">2026-02-09T13:35:05Z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