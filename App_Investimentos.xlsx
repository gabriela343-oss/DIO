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17cc67307c45ea1/Área de Trabalho/"/>
    </mc:Choice>
  </mc:AlternateContent>
  <xr:revisionPtr revIDLastSave="93" documentId="13_ncr:1_{AA77CDAA-366C-4305-9366-5619397C2ED5}" xr6:coauthVersionLast="47" xr6:coauthVersionMax="47" xr10:uidLastSave="{8142D5CE-75E9-406F-8756-0A29E0C3EAE5}"/>
  <bookViews>
    <workbookView xWindow="-120" yWindow="-120" windowWidth="20730" windowHeight="11760" tabRatio="0" xr2:uid="{5D7F3A9A-47AD-4D1B-B95A-5B68640EB23A}"/>
  </bookViews>
  <sheets>
    <sheet name="App" sheetId="1" r:id="rId1"/>
    <sheet name="Auxiliar" sheetId="2" r:id="rId2"/>
  </sheets>
  <definedNames>
    <definedName name="Aporte">App!$D$12</definedName>
    <definedName name="Patrimonio">App!$D$15</definedName>
    <definedName name="Percentual">App!$D$8</definedName>
    <definedName name="Qtde_Anos">App!$D$13</definedName>
    <definedName name="Rendimento">App!$D$7</definedName>
    <definedName name="Salario">App!$D$6</definedName>
    <definedName name="Taxa_Mensal">App!$D$14</definedName>
    <definedName name="Valor">App!$D$9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" l="1"/>
  <c r="C31" i="1"/>
  <c r="C32" i="1"/>
  <c r="C33" i="1"/>
  <c r="C34" i="1"/>
  <c r="C29" i="1"/>
  <c r="D9" i="1" l="1"/>
  <c r="D12" i="1" s="1"/>
  <c r="D15" i="1" s="1"/>
  <c r="D16" i="1" s="1"/>
  <c r="C21" i="1" l="1"/>
  <c r="D21" i="1" s="1"/>
  <c r="C19" i="1"/>
  <c r="D19" i="1" s="1"/>
  <c r="C22" i="1"/>
  <c r="D22" i="1" s="1"/>
  <c r="C23" i="1"/>
  <c r="D23" i="1" s="1"/>
  <c r="C20" i="1"/>
  <c r="D20" i="1" s="1"/>
  <c r="D26" i="1"/>
  <c r="D29" i="1" s="1"/>
  <c r="D32" i="1"/>
  <c r="D30" i="1"/>
  <c r="D34" i="1" l="1"/>
  <c r="D31" i="1"/>
  <c r="D33" i="1"/>
  <c r="D35" i="1" s="1"/>
</calcChain>
</file>

<file path=xl/sharedStrings.xml><?xml version="1.0" encoding="utf-8"?>
<sst xmlns="http://schemas.openxmlformats.org/spreadsheetml/2006/main" count="90" uniqueCount="55">
  <si>
    <t>Ajustes</t>
  </si>
  <si>
    <t>Salário (R$)</t>
  </si>
  <si>
    <t>Rendimento (%)</t>
  </si>
  <si>
    <t>Valor a ser investido (R$)</t>
  </si>
  <si>
    <t>Percentual investido (%)</t>
  </si>
  <si>
    <t>Cenários</t>
  </si>
  <si>
    <t>Quanto em 2 anos?</t>
  </si>
  <si>
    <t>Quanto em 5 anos?</t>
  </si>
  <si>
    <t>Quanto em 10 anos?</t>
  </si>
  <si>
    <t>Quanto em 20 anos?</t>
  </si>
  <si>
    <t>Quanto em 30 anos?</t>
  </si>
  <si>
    <t>Dividendos</t>
  </si>
  <si>
    <t>Perfil</t>
  </si>
  <si>
    <t>Quantidade de anos</t>
  </si>
  <si>
    <t>Rendimento mensal (%)</t>
  </si>
  <si>
    <t>Investimento mensal (R$)</t>
  </si>
  <si>
    <t>Patrimônio acumulado (R$)</t>
  </si>
  <si>
    <t>Dividendos mensais (R$)</t>
  </si>
  <si>
    <t>Patrimônio</t>
  </si>
  <si>
    <t>Conservador</t>
  </si>
  <si>
    <t>CHAVE</t>
  </si>
  <si>
    <t>PERFIL</t>
  </si>
  <si>
    <t>TIPO DE FII</t>
  </si>
  <si>
    <t>%</t>
  </si>
  <si>
    <t>Conservador-PAPEL</t>
  </si>
  <si>
    <t>PAPEL</t>
  </si>
  <si>
    <t>Conservador-TIJOLO</t>
  </si>
  <si>
    <t>TIJOLO</t>
  </si>
  <si>
    <t>Conservador-HÍBRIDOS</t>
  </si>
  <si>
    <t>HÍBRIDOS</t>
  </si>
  <si>
    <t>Conservador-FOFs</t>
  </si>
  <si>
    <t>FOFs</t>
  </si>
  <si>
    <t>Conservador-DESENVOLVIMENTO</t>
  </si>
  <si>
    <t>DESENVOLVIMENTO</t>
  </si>
  <si>
    <t>Conservador-HOTELARIAS</t>
  </si>
  <si>
    <t>HOTELARIAS</t>
  </si>
  <si>
    <t>Moderado-PAPEL</t>
  </si>
  <si>
    <t>Moderado</t>
  </si>
  <si>
    <t>Moderado-TIJOLO</t>
  </si>
  <si>
    <t>Moderado-HÍBRIDOS</t>
  </si>
  <si>
    <t>Moderado-FOFs</t>
  </si>
  <si>
    <t>Moderado-DESENVOLVIMENTO</t>
  </si>
  <si>
    <t>Moderado-HOTELARIAS</t>
  </si>
  <si>
    <t>% Sugerido</t>
  </si>
  <si>
    <t>Valor</t>
  </si>
  <si>
    <t>Ousado</t>
  </si>
  <si>
    <t>Ousado-PAPEL</t>
  </si>
  <si>
    <t>Ousado-TIJOLO</t>
  </si>
  <si>
    <t>Ousado-HÍBRIDOS</t>
  </si>
  <si>
    <t>Ousado-FOFs</t>
  </si>
  <si>
    <t>Ousado-DESENVOLVIMENTO</t>
  </si>
  <si>
    <t>Ousado-HOTELARIAS</t>
  </si>
  <si>
    <t>Totalizador</t>
  </si>
  <si>
    <t>Tipo de fundo</t>
  </si>
  <si>
    <t>Aporte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</si>
</sst>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Neue Haas Grotesk Text Pro"/>
      <family val="2"/>
    </font>
    <font>
      <sz val="14"/>
      <color theme="0"/>
      <name val="Century Gothic"/>
      <family val="2"/>
    </font>
    <font>
      <sz val="14"/>
      <color theme="1"/>
      <name val="Century Gothic"/>
      <family val="2"/>
    </font>
    <font>
      <i/>
      <sz val="14"/>
      <color theme="1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1"/>
        <bgColor indexed="64"/>
      </patternFill>
    </fill>
  </fills>
  <borders count="9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2" fillId="0" borderId="0" xfId="0" applyFont="1" applyAlignment="1">
      <alignment horizontal="center" vertical="center"/>
    </xf>
    <xf numFmtId="9" fontId="2" fillId="0" borderId="0" xfId="2" applyFont="1" applyAlignment="1">
      <alignment horizontal="center" vertical="center"/>
    </xf>
    <xf numFmtId="0" fontId="3" fillId="0" borderId="0" xfId="0" applyFont="1"/>
    <xf numFmtId="0" fontId="3" fillId="2" borderId="4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3" fillId="2" borderId="6" xfId="0" applyFont="1" applyFill="1" applyBorder="1" applyAlignment="1">
      <alignment horizontal="left" vertical="center"/>
    </xf>
    <xf numFmtId="0" fontId="4" fillId="0" borderId="0" xfId="0" applyFont="1"/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164" fontId="4" fillId="0" borderId="3" xfId="0" applyNumberFormat="1" applyFont="1" applyBorder="1" applyAlignment="1">
      <alignment horizontal="center" vertical="center"/>
    </xf>
    <xf numFmtId="10" fontId="4" fillId="0" borderId="3" xfId="2" applyNumberFormat="1" applyFont="1" applyBorder="1" applyAlignment="1">
      <alignment horizontal="center" vertical="center"/>
    </xf>
    <xf numFmtId="10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44" fontId="4" fillId="0" borderId="6" xfId="1" applyFont="1" applyBorder="1" applyAlignment="1">
      <alignment horizontal="center" vertical="center"/>
    </xf>
    <xf numFmtId="44" fontId="4" fillId="0" borderId="3" xfId="1" applyFont="1" applyBorder="1" applyAlignment="1">
      <alignment horizontal="center" vertical="center"/>
    </xf>
    <xf numFmtId="1" fontId="4" fillId="0" borderId="3" xfId="0" applyNumberFormat="1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44" fontId="4" fillId="0" borderId="2" xfId="1" applyFont="1" applyBorder="1" applyAlignment="1">
      <alignment vertical="center"/>
    </xf>
    <xf numFmtId="0" fontId="5" fillId="0" borderId="0" xfId="0" applyFont="1"/>
    <xf numFmtId="44" fontId="4" fillId="0" borderId="5" xfId="1" applyFont="1" applyBorder="1" applyAlignment="1">
      <alignment vertical="center"/>
    </xf>
    <xf numFmtId="0" fontId="4" fillId="0" borderId="0" xfId="0" applyFont="1" applyAlignment="1">
      <alignment vertical="center"/>
    </xf>
    <xf numFmtId="44" fontId="4" fillId="0" borderId="0" xfId="1" applyFont="1" applyBorder="1" applyAlignment="1">
      <alignment vertical="center"/>
    </xf>
    <xf numFmtId="44" fontId="4" fillId="0" borderId="0" xfId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44" fontId="5" fillId="0" borderId="8" xfId="1" applyFont="1" applyBorder="1" applyAlignment="1">
      <alignment horizontal="center" vertical="center"/>
    </xf>
    <xf numFmtId="10" fontId="4" fillId="0" borderId="2" xfId="2" applyNumberFormat="1" applyFont="1" applyBorder="1" applyAlignment="1">
      <alignment horizontal="center" vertical="center"/>
    </xf>
    <xf numFmtId="44" fontId="3" fillId="2" borderId="4" xfId="1" applyFont="1" applyFill="1" applyBorder="1" applyAlignment="1">
      <alignment horizontal="left" vertical="center" wrapText="1"/>
    </xf>
    <xf numFmtId="44" fontId="3" fillId="2" borderId="4" xfId="1" applyFont="1" applyFill="1" applyBorder="1" applyAlignment="1">
      <alignment horizontal="left" vertical="center"/>
    </xf>
    <xf numFmtId="0" fontId="4" fillId="3" borderId="0" xfId="0" applyFont="1" applyFill="1"/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3" fillId="2" borderId="4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3" fillId="2" borderId="6" xfId="0" applyFont="1" applyFill="1" applyBorder="1" applyAlignment="1">
      <alignment horizontal="left" vertical="center"/>
    </xf>
  </cellXfs>
  <cellStyles count="3">
    <cellStyle name="Moeda" xfId="1" builtinId="4"/>
    <cellStyle name="Normal" xfId="0" builtinId="0"/>
    <cellStyle name="Porcentagem" xfId="2" builtinId="5"/>
  </cellStyles>
  <dxfs count="6">
    <dxf>
      <font>
        <strike val="0"/>
        <outline val="0"/>
        <shadow val="0"/>
        <u val="none"/>
        <vertAlign val="baseline"/>
        <sz val="10"/>
        <color theme="1"/>
        <name val="Neue Haas Grotesk Text Pro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eue Haas Grotesk Text Pro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eue Haas Grotesk Text Pro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eue Haas Grotesk Text Pro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eue Haas Grotesk Text Pro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eue Haas Grotesk Text Pro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App!$C$28</c:f>
              <c:strCache>
                <c:ptCount val="1"/>
                <c:pt idx="0">
                  <c:v>% Sugerido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100000">
                    <a:schemeClr val="dk1">
                      <a:tint val="88500"/>
                      <a:lumMod val="60000"/>
                      <a:lumOff val="40000"/>
                    </a:schemeClr>
                  </a:gs>
                  <a:gs pos="0">
                    <a:schemeClr val="dk1">
                      <a:tint val="885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E94-49A4-A05F-F90E87FD74AA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dk1">
                      <a:tint val="55000"/>
                      <a:lumMod val="60000"/>
                      <a:lumOff val="40000"/>
                    </a:schemeClr>
                  </a:gs>
                  <a:gs pos="0">
                    <a:schemeClr val="dk1">
                      <a:tint val="55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E94-49A4-A05F-F90E87FD74AA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dk1">
                      <a:tint val="75000"/>
                      <a:lumMod val="60000"/>
                      <a:lumOff val="40000"/>
                    </a:schemeClr>
                  </a:gs>
                  <a:gs pos="0">
                    <a:schemeClr val="dk1">
                      <a:tint val="75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E94-49A4-A05F-F90E87FD74AA}"/>
              </c:ext>
            </c:extLst>
          </c:dPt>
          <c:dPt>
            <c:idx val="3"/>
            <c:bubble3D val="0"/>
            <c:spPr>
              <a:gradFill>
                <a:gsLst>
                  <a:gs pos="100000">
                    <a:schemeClr val="dk1">
                      <a:tint val="98500"/>
                      <a:lumMod val="60000"/>
                      <a:lumOff val="40000"/>
                    </a:schemeClr>
                  </a:gs>
                  <a:gs pos="0">
                    <a:schemeClr val="dk1">
                      <a:tint val="985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E94-49A4-A05F-F90E87FD74AA}"/>
              </c:ext>
            </c:extLst>
          </c:dPt>
          <c:dPt>
            <c:idx val="4"/>
            <c:bubble3D val="0"/>
            <c:spPr>
              <a:gradFill>
                <a:gsLst>
                  <a:gs pos="100000">
                    <a:schemeClr val="dk1">
                      <a:tint val="30000"/>
                      <a:lumMod val="60000"/>
                      <a:lumOff val="40000"/>
                    </a:schemeClr>
                  </a:gs>
                  <a:gs pos="0">
                    <a:schemeClr val="dk1">
                      <a:tint val="3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E94-49A4-A05F-F90E87FD74AA}"/>
              </c:ext>
            </c:extLst>
          </c:dPt>
          <c:dPt>
            <c:idx val="5"/>
            <c:bubble3D val="0"/>
            <c:spPr>
              <a:gradFill>
                <a:gsLst>
                  <a:gs pos="100000">
                    <a:schemeClr val="dk1">
                      <a:tint val="60000"/>
                      <a:lumMod val="60000"/>
                      <a:lumOff val="40000"/>
                    </a:schemeClr>
                  </a:gs>
                  <a:gs pos="0">
                    <a:schemeClr val="dk1">
                      <a:tint val="6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E94-49A4-A05F-F90E87FD74A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App!$B$29:$B$34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App!$C$29:$C$34</c:f>
              <c:numCache>
                <c:formatCode>0.00%</c:formatCode>
                <c:ptCount val="6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F2-4F72-8CEE-8C2C7B555AB1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style1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11905</xdr:colOff>
      <xdr:row>35</xdr:row>
      <xdr:rowOff>152399</xdr:rowOff>
    </xdr:from>
    <xdr:to>
      <xdr:col>4</xdr:col>
      <xdr:colOff>11905</xdr:colOff>
      <xdr:row>50</xdr:row>
      <xdr:rowOff>38099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92D6818F-276F-4854-359B-FAF875703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0</xdr:row>
      <xdr:rowOff>35717</xdr:rowOff>
    </xdr:from>
    <xdr:to>
      <xdr:col>4</xdr:col>
      <xdr:colOff>11906</xdr:colOff>
      <xdr:row>4</xdr:row>
      <xdr:rowOff>0</xdr:rowOff>
    </xdr:to>
    <xdr:sp macro="" textlink="">
      <xdr:nvSpPr>
        <xdr:cNvPr id="2" name="Retângulo: Cantos Superiores Arredondados 1">
          <a:extLst>
            <a:ext uri="{FF2B5EF4-FFF2-40B4-BE49-F238E27FC236}">
              <a16:creationId xmlns:a16="http://schemas.microsoft.com/office/drawing/2014/main" id="{A61FF153-B7B4-2CCB-06FC-18202DF4AEF3}"/>
            </a:ext>
          </a:extLst>
        </xdr:cNvPr>
        <xdr:cNvSpPr/>
      </xdr:nvSpPr>
      <xdr:spPr>
        <a:xfrm>
          <a:off x="297656" y="35717"/>
          <a:ext cx="6155531" cy="642939"/>
        </a:xfrm>
        <a:prstGeom prst="round2SameRect">
          <a:avLst/>
        </a:prstGeom>
        <a:solidFill>
          <a:schemeClr val="dk1"/>
        </a:solidFill>
      </xdr:spPr>
      <xdr:style>
        <a:lnRef idx="0">
          <a:schemeClr val="dk1"/>
        </a:lnRef>
        <a:fillRef idx="1001">
          <a:schemeClr val="dk1"/>
        </a:fillRef>
        <a:effectRef idx="3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2800" b="1" i="0">
              <a:latin typeface="Century Gothic" panose="020B0502020202020204" pitchFamily="34" charset="0"/>
            </a:rPr>
            <a:t>Simulador de Investimentos</a:t>
          </a:r>
        </a:p>
      </xdr:txBody>
    </xdr:sp>
    <xdr:clientData/>
  </xdr:twoCellAnchor>
  <xdr:twoCellAnchor editAs="oneCell">
    <xdr:from>
      <xdr:col>3</xdr:col>
      <xdr:colOff>1000122</xdr:colOff>
      <xdr:row>0</xdr:row>
      <xdr:rowOff>142874</xdr:rowOff>
    </xdr:from>
    <xdr:to>
      <xdr:col>3</xdr:col>
      <xdr:colOff>1914522</xdr:colOff>
      <xdr:row>4</xdr:row>
      <xdr:rowOff>152399</xdr:rowOff>
    </xdr:to>
    <xdr:pic>
      <xdr:nvPicPr>
        <xdr:cNvPr id="10" name="Gráfico 9" descr="Oferta e procura estrutura de tópicos">
          <a:extLst>
            <a:ext uri="{FF2B5EF4-FFF2-40B4-BE49-F238E27FC236}">
              <a16:creationId xmlns:a16="http://schemas.microsoft.com/office/drawing/2014/main" id="{BE8FEAE1-1C4A-5C99-C95C-3EA82E271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393528" y="142874"/>
          <a:ext cx="914400" cy="9144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12ACD8-FC09-46BF-9175-6797D5B7777D}" name="Tab_Auxiliar" displayName="Tab_Auxiliar" ref="A2:D20" totalsRowShown="0" headerRowDxfId="5" dataDxfId="4">
  <autoFilter ref="A2:D20" xr:uid="{8112ACD8-FC09-46BF-9175-6797D5B7777D}"/>
  <tableColumns count="4">
    <tableColumn id="1" xr3:uid="{20943268-7093-471F-9A29-24432FD594AD}" name="CHAVE" dataDxfId="3"/>
    <tableColumn id="2" xr3:uid="{01C13B99-C8A4-4680-991B-9EA7A807B4DA}" name="PERFIL" dataDxfId="2"/>
    <tableColumn id="3" xr3:uid="{0A8F6217-9473-45C3-9480-E9EF05AE98D3}" name="TIPO DE FII" dataDxfId="1"/>
    <tableColumn id="4" xr3:uid="{F1353A3B-ADA8-462A-8C44-AA0E7B33EA95}" name="%" dataDxfId="0" dataCellStyle="Porcentagem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1864F-2207-42A9-A2FD-784020E63C3E}">
  <dimension ref="A5:E35"/>
  <sheetViews>
    <sheetView showGridLines="0" showRowColHeaders="0" tabSelected="1" zoomScale="80" zoomScaleNormal="80" workbookViewId="0"/>
  </sheetViews>
  <sheetFormatPr defaultColWidth="0" defaultRowHeight="18" x14ac:dyDescent="0.25"/>
  <cols>
    <col min="1" max="1" width="4.42578125" style="3" bestFit="1" customWidth="1"/>
    <col min="2" max="4" width="30.7109375" style="7" customWidth="1"/>
    <col min="5" max="5" width="5.7109375" style="7" customWidth="1"/>
    <col min="6" max="16384" width="13.28515625" style="7" hidden="1"/>
  </cols>
  <sheetData>
    <row r="5" spans="2:4" x14ac:dyDescent="0.25">
      <c r="B5" s="34" t="s">
        <v>0</v>
      </c>
      <c r="C5" s="35"/>
      <c r="D5" s="36"/>
    </row>
    <row r="6" spans="2:4" x14ac:dyDescent="0.25">
      <c r="B6" s="8" t="s">
        <v>1</v>
      </c>
      <c r="C6" s="9"/>
      <c r="D6" s="10">
        <v>4000</v>
      </c>
    </row>
    <row r="7" spans="2:4" x14ac:dyDescent="0.25">
      <c r="B7" s="8" t="s">
        <v>2</v>
      </c>
      <c r="C7" s="9"/>
      <c r="D7" s="11">
        <v>6.0000000000000001E-3</v>
      </c>
    </row>
    <row r="8" spans="2:4" x14ac:dyDescent="0.25">
      <c r="B8" s="8" t="s">
        <v>4</v>
      </c>
      <c r="C8" s="9"/>
      <c r="D8" s="12">
        <v>0.2</v>
      </c>
    </row>
    <row r="9" spans="2:4" x14ac:dyDescent="0.25">
      <c r="B9" s="13" t="s">
        <v>3</v>
      </c>
      <c r="C9" s="14"/>
      <c r="D9" s="15">
        <f>IF($D$6="","",$D$6*$D$8)</f>
        <v>800</v>
      </c>
    </row>
    <row r="10" spans="2:4" x14ac:dyDescent="0.25">
      <c r="B10" s="31"/>
      <c r="C10" s="31"/>
      <c r="D10" s="31"/>
    </row>
    <row r="11" spans="2:4" x14ac:dyDescent="0.25">
      <c r="B11" s="34" t="s">
        <v>54</v>
      </c>
      <c r="C11" s="35"/>
      <c r="D11" s="36"/>
    </row>
    <row r="12" spans="2:4" x14ac:dyDescent="0.25">
      <c r="B12" s="8" t="s">
        <v>15</v>
      </c>
      <c r="C12" s="9"/>
      <c r="D12" s="16">
        <f>Valor</f>
        <v>800</v>
      </c>
    </row>
    <row r="13" spans="2:4" x14ac:dyDescent="0.25">
      <c r="B13" s="8" t="s">
        <v>13</v>
      </c>
      <c r="C13" s="9"/>
      <c r="D13" s="17">
        <v>2</v>
      </c>
    </row>
    <row r="14" spans="2:4" x14ac:dyDescent="0.25">
      <c r="B14" s="8" t="s">
        <v>14</v>
      </c>
      <c r="C14" s="9"/>
      <c r="D14" s="11">
        <v>1.04E-2</v>
      </c>
    </row>
    <row r="15" spans="2:4" x14ac:dyDescent="0.25">
      <c r="B15" s="8" t="s">
        <v>16</v>
      </c>
      <c r="C15" s="9"/>
      <c r="D15" s="16">
        <f>FV(Taxa_Mensal,Qtde_Anos*12,Aporte*-1)</f>
        <v>21681.426163999589</v>
      </c>
    </row>
    <row r="16" spans="2:4" x14ac:dyDescent="0.25">
      <c r="B16" s="13" t="s">
        <v>17</v>
      </c>
      <c r="C16" s="14"/>
      <c r="D16" s="15">
        <f>Patrimonio*Rendimento</f>
        <v>130.08855698399753</v>
      </c>
    </row>
    <row r="17" spans="1:4" x14ac:dyDescent="0.25">
      <c r="B17" s="31"/>
      <c r="C17" s="31"/>
      <c r="D17" s="31"/>
    </row>
    <row r="18" spans="1:4" s="19" customFormat="1" x14ac:dyDescent="0.25">
      <c r="A18" s="18"/>
      <c r="B18" s="4" t="s">
        <v>5</v>
      </c>
      <c r="C18" s="5" t="s">
        <v>18</v>
      </c>
      <c r="D18" s="6" t="s">
        <v>11</v>
      </c>
    </row>
    <row r="19" spans="1:4" s="21" customFormat="1" x14ac:dyDescent="0.25">
      <c r="A19" s="3">
        <v>2</v>
      </c>
      <c r="B19" s="8" t="s">
        <v>6</v>
      </c>
      <c r="C19" s="20">
        <f>FV(Taxa_Mensal,$A19*12,Aporte*-1)</f>
        <v>21681.426163999589</v>
      </c>
      <c r="D19" s="16">
        <f>$C19*Rendimento</f>
        <v>130.08855698399753</v>
      </c>
    </row>
    <row r="20" spans="1:4" s="21" customFormat="1" x14ac:dyDescent="0.25">
      <c r="A20" s="3">
        <v>5</v>
      </c>
      <c r="B20" s="8" t="s">
        <v>7</v>
      </c>
      <c r="C20" s="20">
        <f>FV(Taxa_Mensal,$A20*12,Aporte*-1)</f>
        <v>66182.612589424534</v>
      </c>
      <c r="D20" s="16">
        <f>$C20*Rendimento</f>
        <v>397.09567553654722</v>
      </c>
    </row>
    <row r="21" spans="1:4" s="21" customFormat="1" x14ac:dyDescent="0.25">
      <c r="A21" s="3">
        <v>10</v>
      </c>
      <c r="B21" s="8" t="s">
        <v>8</v>
      </c>
      <c r="C21" s="20">
        <f>FV(Taxa_Mensal,$A21*12,Aporte*-1)</f>
        <v>189307.02189795321</v>
      </c>
      <c r="D21" s="16">
        <f>$C21*Rendimento</f>
        <v>1135.8421313877193</v>
      </c>
    </row>
    <row r="22" spans="1:4" s="21" customFormat="1" x14ac:dyDescent="0.25">
      <c r="A22" s="3">
        <v>20</v>
      </c>
      <c r="B22" s="8" t="s">
        <v>9</v>
      </c>
      <c r="C22" s="20">
        <f>FV(Taxa_Mensal,$A22*12,Aporte*-1)</f>
        <v>844496.97481424408</v>
      </c>
      <c r="D22" s="16">
        <f>$C22*Rendimento</f>
        <v>5066.9818488854644</v>
      </c>
    </row>
    <row r="23" spans="1:4" s="21" customFormat="1" x14ac:dyDescent="0.25">
      <c r="A23" s="3">
        <v>30</v>
      </c>
      <c r="B23" s="13" t="s">
        <v>10</v>
      </c>
      <c r="C23" s="22">
        <f>FV(Taxa_Mensal,$A23*12,Aporte*-1)</f>
        <v>3112103.6916630967</v>
      </c>
      <c r="D23" s="15">
        <f>$C23*Rendimento</f>
        <v>18672.622149978579</v>
      </c>
    </row>
    <row r="24" spans="1:4" s="21" customFormat="1" x14ac:dyDescent="0.25">
      <c r="A24" s="3"/>
      <c r="B24" s="23"/>
      <c r="C24" s="24"/>
      <c r="D24" s="25"/>
    </row>
    <row r="25" spans="1:4" s="21" customFormat="1" x14ac:dyDescent="0.25">
      <c r="A25" s="3"/>
      <c r="B25" s="32" t="s">
        <v>12</v>
      </c>
      <c r="C25" s="33"/>
      <c r="D25" s="26" t="s">
        <v>19</v>
      </c>
    </row>
    <row r="26" spans="1:4" s="21" customFormat="1" x14ac:dyDescent="0.25">
      <c r="A26" s="3"/>
      <c r="B26" s="32" t="s">
        <v>3</v>
      </c>
      <c r="C26" s="33"/>
      <c r="D26" s="27">
        <f>Aporte</f>
        <v>800</v>
      </c>
    </row>
    <row r="28" spans="1:4" s="19" customFormat="1" x14ac:dyDescent="0.25">
      <c r="A28" s="18"/>
      <c r="B28" s="4" t="s">
        <v>53</v>
      </c>
      <c r="C28" s="5" t="s">
        <v>43</v>
      </c>
      <c r="D28" s="6" t="s">
        <v>44</v>
      </c>
    </row>
    <row r="29" spans="1:4" x14ac:dyDescent="0.25">
      <c r="B29" s="8" t="s">
        <v>25</v>
      </c>
      <c r="C29" s="28">
        <f>VLOOKUP($D$25&amp;"-"&amp;$B29,Auxiliar!$A:$D,4,FALSE)</f>
        <v>0.3</v>
      </c>
      <c r="D29" s="16">
        <f t="shared" ref="D29:D34" si="0">C29*$D$26</f>
        <v>240</v>
      </c>
    </row>
    <row r="30" spans="1:4" x14ac:dyDescent="0.25">
      <c r="B30" s="8" t="s">
        <v>27</v>
      </c>
      <c r="C30" s="28">
        <f>VLOOKUP($D$25&amp;"-"&amp;$B30,Auxiliar!$A:$D,4,FALSE)</f>
        <v>0.5</v>
      </c>
      <c r="D30" s="16">
        <f t="shared" si="0"/>
        <v>400</v>
      </c>
    </row>
    <row r="31" spans="1:4" x14ac:dyDescent="0.25">
      <c r="B31" s="8" t="s">
        <v>29</v>
      </c>
      <c r="C31" s="28">
        <f>VLOOKUP($D$25&amp;"-"&amp;$B31,Auxiliar!$A:$D,4,FALSE)</f>
        <v>0.1</v>
      </c>
      <c r="D31" s="16">
        <f t="shared" si="0"/>
        <v>80</v>
      </c>
    </row>
    <row r="32" spans="1:4" x14ac:dyDescent="0.25">
      <c r="B32" s="8" t="s">
        <v>31</v>
      </c>
      <c r="C32" s="28">
        <f>VLOOKUP($D$25&amp;"-"&amp;$B32,Auxiliar!$A:$D,4,FALSE)</f>
        <v>0.1</v>
      </c>
      <c r="D32" s="16">
        <f t="shared" si="0"/>
        <v>80</v>
      </c>
    </row>
    <row r="33" spans="2:4" x14ac:dyDescent="0.25">
      <c r="B33" s="8" t="s">
        <v>33</v>
      </c>
      <c r="C33" s="28">
        <f>VLOOKUP($D$25&amp;"-"&amp;$B33,Auxiliar!$A:$D,4,FALSE)</f>
        <v>0</v>
      </c>
      <c r="D33" s="16">
        <f t="shared" si="0"/>
        <v>0</v>
      </c>
    </row>
    <row r="34" spans="2:4" x14ac:dyDescent="0.25">
      <c r="B34" s="8" t="s">
        <v>35</v>
      </c>
      <c r="C34" s="28">
        <f>VLOOKUP($D$25&amp;"-"&amp;$B34,Auxiliar!$A:$D,4,FALSE)</f>
        <v>0</v>
      </c>
      <c r="D34" s="16">
        <f t="shared" si="0"/>
        <v>0</v>
      </c>
    </row>
    <row r="35" spans="2:4" x14ac:dyDescent="0.25">
      <c r="B35" s="4" t="s">
        <v>52</v>
      </c>
      <c r="C35" s="29"/>
      <c r="D35" s="30">
        <f>SUM(D29:D34)</f>
        <v>800</v>
      </c>
    </row>
  </sheetData>
  <mergeCells count="4">
    <mergeCell ref="B26:C26"/>
    <mergeCell ref="B25:C25"/>
    <mergeCell ref="B5:D5"/>
    <mergeCell ref="B11:D11"/>
  </mergeCells>
  <dataValidations count="1">
    <dataValidation type="list" allowBlank="1" showInputMessage="1" showErrorMessage="1" sqref="D25" xr:uid="{92379BF6-4ADF-4710-811D-A68D1BAF655E}">
      <formula1>"Conservador,Moderado,Ousado"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FD128-AC45-413B-A533-647146ACB521}">
  <dimension ref="A2:D20"/>
  <sheetViews>
    <sheetView showGridLines="0" workbookViewId="0">
      <selection activeCell="A15" sqref="A15"/>
    </sheetView>
  </sheetViews>
  <sheetFormatPr defaultColWidth="30.7109375" defaultRowHeight="12.75" x14ac:dyDescent="0.25"/>
  <cols>
    <col min="1" max="1" width="33.5703125" style="1" bestFit="1" customWidth="1"/>
    <col min="2" max="2" width="12.5703125" style="1" bestFit="1" customWidth="1"/>
    <col min="3" max="3" width="21.140625" style="1" bestFit="1" customWidth="1"/>
    <col min="4" max="4" width="7.5703125" style="2" bestFit="1" customWidth="1"/>
    <col min="5" max="16384" width="30.7109375" style="1"/>
  </cols>
  <sheetData>
    <row r="2" spans="1:4" x14ac:dyDescent="0.25">
      <c r="A2" s="1" t="s">
        <v>20</v>
      </c>
      <c r="B2" s="1" t="s">
        <v>21</v>
      </c>
      <c r="C2" s="1" t="s">
        <v>22</v>
      </c>
      <c r="D2" s="2" t="s">
        <v>23</v>
      </c>
    </row>
    <row r="3" spans="1:4" x14ac:dyDescent="0.25">
      <c r="A3" s="1" t="s">
        <v>24</v>
      </c>
      <c r="B3" s="1" t="s">
        <v>19</v>
      </c>
      <c r="C3" s="1" t="s">
        <v>25</v>
      </c>
      <c r="D3" s="2">
        <v>0.3</v>
      </c>
    </row>
    <row r="4" spans="1:4" x14ac:dyDescent="0.25">
      <c r="A4" s="1" t="s">
        <v>26</v>
      </c>
      <c r="B4" s="1" t="s">
        <v>19</v>
      </c>
      <c r="C4" s="1" t="s">
        <v>27</v>
      </c>
      <c r="D4" s="2">
        <v>0.5</v>
      </c>
    </row>
    <row r="5" spans="1:4" x14ac:dyDescent="0.25">
      <c r="A5" s="1" t="s">
        <v>28</v>
      </c>
      <c r="B5" s="1" t="s">
        <v>19</v>
      </c>
      <c r="C5" s="1" t="s">
        <v>29</v>
      </c>
      <c r="D5" s="2">
        <v>0.1</v>
      </c>
    </row>
    <row r="6" spans="1:4" x14ac:dyDescent="0.25">
      <c r="A6" s="1" t="s">
        <v>30</v>
      </c>
      <c r="B6" s="1" t="s">
        <v>19</v>
      </c>
      <c r="C6" s="1" t="s">
        <v>31</v>
      </c>
      <c r="D6" s="2">
        <v>0.1</v>
      </c>
    </row>
    <row r="7" spans="1:4" x14ac:dyDescent="0.25">
      <c r="A7" s="1" t="s">
        <v>32</v>
      </c>
      <c r="B7" s="1" t="s">
        <v>19</v>
      </c>
      <c r="C7" s="1" t="s">
        <v>33</v>
      </c>
      <c r="D7" s="2">
        <v>0</v>
      </c>
    </row>
    <row r="8" spans="1:4" x14ac:dyDescent="0.25">
      <c r="A8" s="1" t="s">
        <v>34</v>
      </c>
      <c r="B8" s="1" t="s">
        <v>19</v>
      </c>
      <c r="C8" s="1" t="s">
        <v>35</v>
      </c>
      <c r="D8" s="2">
        <v>0</v>
      </c>
    </row>
    <row r="9" spans="1:4" x14ac:dyDescent="0.25">
      <c r="A9" s="1" t="s">
        <v>36</v>
      </c>
      <c r="B9" s="1" t="s">
        <v>37</v>
      </c>
      <c r="C9" s="1" t="s">
        <v>25</v>
      </c>
      <c r="D9" s="2">
        <v>0.32</v>
      </c>
    </row>
    <row r="10" spans="1:4" x14ac:dyDescent="0.25">
      <c r="A10" s="1" t="s">
        <v>38</v>
      </c>
      <c r="B10" s="1" t="s">
        <v>37</v>
      </c>
      <c r="C10" s="1" t="s">
        <v>27</v>
      </c>
      <c r="D10" s="2">
        <v>0.35</v>
      </c>
    </row>
    <row r="11" spans="1:4" x14ac:dyDescent="0.25">
      <c r="A11" s="1" t="s">
        <v>39</v>
      </c>
      <c r="B11" s="1" t="s">
        <v>37</v>
      </c>
      <c r="C11" s="1" t="s">
        <v>29</v>
      </c>
      <c r="D11" s="2">
        <v>0.08</v>
      </c>
    </row>
    <row r="12" spans="1:4" x14ac:dyDescent="0.25">
      <c r="A12" s="1" t="s">
        <v>40</v>
      </c>
      <c r="B12" s="1" t="s">
        <v>37</v>
      </c>
      <c r="C12" s="1" t="s">
        <v>31</v>
      </c>
      <c r="D12" s="2">
        <v>0.05</v>
      </c>
    </row>
    <row r="13" spans="1:4" x14ac:dyDescent="0.25">
      <c r="A13" s="1" t="s">
        <v>41</v>
      </c>
      <c r="B13" s="1" t="s">
        <v>37</v>
      </c>
      <c r="C13" s="1" t="s">
        <v>33</v>
      </c>
      <c r="D13" s="2">
        <v>0.1</v>
      </c>
    </row>
    <row r="14" spans="1:4" x14ac:dyDescent="0.25">
      <c r="A14" s="1" t="s">
        <v>42</v>
      </c>
      <c r="B14" s="1" t="s">
        <v>37</v>
      </c>
      <c r="C14" s="1" t="s">
        <v>35</v>
      </c>
      <c r="D14" s="2">
        <v>0.1</v>
      </c>
    </row>
    <row r="15" spans="1:4" x14ac:dyDescent="0.25">
      <c r="A15" s="1" t="s">
        <v>46</v>
      </c>
      <c r="B15" s="1" t="s">
        <v>45</v>
      </c>
      <c r="C15" s="1" t="s">
        <v>25</v>
      </c>
      <c r="D15" s="2">
        <v>0.5</v>
      </c>
    </row>
    <row r="16" spans="1:4" x14ac:dyDescent="0.25">
      <c r="A16" s="1" t="s">
        <v>47</v>
      </c>
      <c r="B16" s="1" t="s">
        <v>45</v>
      </c>
      <c r="C16" s="1" t="s">
        <v>27</v>
      </c>
      <c r="D16" s="2">
        <v>0.1</v>
      </c>
    </row>
    <row r="17" spans="1:4" x14ac:dyDescent="0.25">
      <c r="A17" s="1" t="s">
        <v>48</v>
      </c>
      <c r="B17" s="1" t="s">
        <v>45</v>
      </c>
      <c r="C17" s="1" t="s">
        <v>29</v>
      </c>
      <c r="D17" s="2">
        <v>0.05</v>
      </c>
    </row>
    <row r="18" spans="1:4" x14ac:dyDescent="0.25">
      <c r="A18" s="1" t="s">
        <v>49</v>
      </c>
      <c r="B18" s="1" t="s">
        <v>45</v>
      </c>
      <c r="C18" s="1" t="s">
        <v>31</v>
      </c>
      <c r="D18" s="2">
        <v>0.05</v>
      </c>
    </row>
    <row r="19" spans="1:4" x14ac:dyDescent="0.25">
      <c r="A19" s="1" t="s">
        <v>50</v>
      </c>
      <c r="B19" s="1" t="s">
        <v>45</v>
      </c>
      <c r="C19" s="1" t="s">
        <v>33</v>
      </c>
      <c r="D19" s="2">
        <v>0.2</v>
      </c>
    </row>
    <row r="20" spans="1:4" x14ac:dyDescent="0.25">
      <c r="A20" s="1" t="s">
        <v>51</v>
      </c>
      <c r="B20" s="1" t="s">
        <v>45</v>
      </c>
      <c r="C20" s="1" t="s">
        <v>35</v>
      </c>
      <c r="D20" s="2">
        <v>0.1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8</vt:i4>
      </vt:variant>
    </vt:vector>
  </HeadingPairs>
  <TitlesOfParts>
    <vt:vector size="10" baseType="lpstr">
      <vt:lpstr>App</vt:lpstr>
      <vt:lpstr>Auxiliar</vt:lpstr>
      <vt:lpstr>Aporte</vt:lpstr>
      <vt:lpstr>Patrimonio</vt:lpstr>
      <vt:lpstr>Percentual</vt:lpstr>
      <vt:lpstr>Qtde_Anos</vt:lpstr>
      <vt:lpstr>Rendimento</vt:lpstr>
      <vt:lpstr>Salario</vt:lpstr>
      <vt:lpstr>Taxa_Mensal</vt:lpstr>
      <vt:lpstr>Valor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Gabriela Aparecida de Souza</dc:creator>
  <cp:lastModifiedBy>Gabriela Aparecida de Souza</cp:lastModifiedBy>
  <dcterms:created xsi:type="dcterms:W3CDTF">2026-01-10T13:09:59Z</dcterms:created>
  <dcterms:modified xsi:type="dcterms:W3CDTF">2026-01-11T10:50:31Z</dcterms:modified>
</cp:coreProperties>
</file>